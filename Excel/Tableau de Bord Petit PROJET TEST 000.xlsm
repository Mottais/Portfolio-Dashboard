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nick\Bureau\Dashboard\ExportsSEMA\"/>
    </mc:Choice>
  </mc:AlternateContent>
  <xr:revisionPtr revIDLastSave="0" documentId="13_ncr:1_{9C28D764-5A01-40C0-A482-A44682F9C784}" xr6:coauthVersionLast="47" xr6:coauthVersionMax="47" xr10:uidLastSave="{00000000-0000-0000-0000-000000000000}"/>
  <bookViews>
    <workbookView xWindow="-120" yWindow="-120" windowWidth="29040" windowHeight="15720" tabRatio="683" firstSheet="1" activeTab="1" xr2:uid="{00000000-000D-0000-FFFF-FFFF00000000}"/>
  </bookViews>
  <sheets>
    <sheet name="PARAMETRES" sheetId="11" state="hidden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T_COMPTES[COMPTES]</definedName>
    <definedName name="C_PROFILES">T_PROFILES[PROFILES]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SEMADATA_A_TRAITER_A_TRAITER_SEMA_C">'A TRAITER'!$B$11:$F$11</definedName>
    <definedName name="SEMADATA_A_TRAITER_A_TRAITER_SEMA_D">'A TRAITER'!$B$11:$F$12</definedName>
    <definedName name="SEMADATA_ELEMENTS_FERRURES_ELEMENTS_FERRURES_C">'ELEMENTS FERRURES'!$B$4:$E$5</definedName>
    <definedName name="SEMADATA_ETAPES_CHANTIER_LISTE_SEMA_C">'ETAPES CHANTIER'!$B$18:$B$20</definedName>
    <definedName name="SEMADATA_PREPA_T_PREPA_Goblal_m2_C">PREPA!$C$10:$J$10</definedName>
    <definedName name="SEMADATA_PREPA_T_PREPA_Goblal_m2_D">PREPA!$C$10:$J$11</definedName>
    <definedName name="SEMADATA_PREPA_T_PREPA_Goblal_u_C">PREPA!$C$7:$J$7</definedName>
    <definedName name="SEMADATA_PREPA_T_PREPA_Goblal_u_D">PREPA!$C$8:$J$8</definedName>
    <definedName name="SEMADATA_PREPA_T_PREPA_Paquet_Atelier_m2_C">PREPA!$B$17:$J$17</definedName>
    <definedName name="SEMADATA_PREPA_T_PREPA_Paquet_Atelier_m2_D">PREPA!$B$18:$J$18</definedName>
    <definedName name="SEMADATA_PREPA_T_PREPA_Paquet_Atelier_u_C">PREPA!$B$15:$J$15</definedName>
    <definedName name="SEMADATA_PREPA_T_PREPA_Paquet_Atelier_u_D">PREPA!$B$15:$J$16</definedName>
    <definedName name="SEMADATA_QUINCAILLERIE_T_QUINCAILLERIE_Magasinier_u_C">QUINCAILLERIE!$C$10:$E$10</definedName>
    <definedName name="SEMADATA_QUINCAILLERIE_T_QUINCAILLERIE_Magasinier_u_D">QUINCAILLERIE!$C$11:$E$16</definedName>
    <definedName name="SEMADATA_QUINCAILLERIE_T_QUINCAILLERIE_Paquet_Atelier_u_C">QUINCAILLERIE!$B$23:$E$23</definedName>
    <definedName name="SEMADATA_QUINCAILLERIE_T_QUINCAILLERIE_Paquet_Atelier_u_D">QUINCAILLERIE!$B$24:$E$24</definedName>
    <definedName name="SEMADATA_QUINCAILLERIE_T_QUINCAILLERIE_Paquet_Chantier_u_C">QUINCAILLERIE!$B$31:$E$31</definedName>
    <definedName name="SEMADATA_QUINCAILLERIE_T_QUINCAILLERIE_Paquet_Chantier_u_D">QUINCAILLERIE!$B$32:$E$36</definedName>
    <definedName name="SEMADATA_ZINGUERIE_T_ZINGUERIE_Goblal_ml_C">ZINGUERIE!$C$11:$E$11</definedName>
    <definedName name="SEMADATA_ZINGUERIE_T_ZINGUERIE_Goblal_ml_D">ZINGUERIE!$C$11:$E$12</definedName>
    <definedName name="SEMADATA_ZINGUERIE_T_ZINGUERIE_Paquet_Chantier_ml_C">ZINGUERIE!$B$25:$E$25</definedName>
    <definedName name="SEMADATA_ZINGUERIE_T_ZINGUERIE_Paquet_Chantier_ml_D">ZINGUERIE!$B$25:$E$26</definedName>
    <definedName name="T_PREPA_Goblal_m2" localSheetId="2">PREPA!$C$10</definedName>
    <definedName name="T_PREPA_Goblal_ml" localSheetId="2">PREPA!$C$9</definedName>
    <definedName name="T_PREPA_Goblal_u" localSheetId="2">PREPA!$C$7</definedName>
    <definedName name="T_PREPA_Paquet_Atelier_m2" localSheetId="2">PREPA!$B$17</definedName>
    <definedName name="T_PREPA_Paquet_Atelier_ml" localSheetId="2">PREPA!$B$16</definedName>
    <definedName name="T_PREPA_Paquet_Atelier_u" localSheetId="2">PREPA!$B$15</definedName>
    <definedName name="T_PREPA_Paquet_Chantier_m2" localSheetId="2">PREPA!$B$25</definedName>
    <definedName name="T_PREPA_Paquet_Chantier_ml" localSheetId="2">PREPA!$B$24</definedName>
    <definedName name="T_PREPA_Paquet_Chantier_u" localSheetId="2">PREPA!$B$23</definedName>
    <definedName name="T_QUINCAILLERIE_Magasinier_m2">QUINCAILLERIE!$C$18</definedName>
    <definedName name="T_QUINCAILLERIE_Magasinier_ml">QUINCAILLERIE!$C$17</definedName>
    <definedName name="T_QUINCAILLERIE_Magasinier_u">QUINCAILLERIE!$C$10</definedName>
    <definedName name="T_QUINCAILLERIE_Paquet_Atelier_m2">QUINCAILLERIE!$B$26</definedName>
    <definedName name="T_QUINCAILLERIE_Paquet_Atelier_ml">QUINCAILLERIE!$B$25</definedName>
    <definedName name="T_QUINCAILLERIE_Paquet_Atelier_u">QUINCAILLERIE!$B$23</definedName>
    <definedName name="T_QUINCAILLERIE_Paquet_Chantier_m2">QUINCAILLERIE!$B$38</definedName>
    <definedName name="T_QUINCAILLERIE_Paquet_Chantier_ml">QUINCAILLERIE!$B$37</definedName>
    <definedName name="T_QUINCAILLERIE_Paquet_Chantier_u">QUINCAILLERIE!$B$31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PREPA!$B$2:$L$26</definedName>
    <definedName name="_xlnm.Print_Area" localSheetId="3">QUINCAILLERIE!$B$2:$G$39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C20" i="1"/>
  <c r="D20" i="1"/>
  <c r="E20" i="1"/>
  <c r="F20" i="1"/>
  <c r="H20" i="1"/>
  <c r="J20" i="1"/>
  <c r="C19" i="1"/>
  <c r="D19" i="1"/>
  <c r="E19" i="1"/>
  <c r="F19" i="1"/>
  <c r="H19" i="1"/>
  <c r="I19" i="1"/>
  <c r="J19" i="1"/>
  <c r="J18" i="1"/>
  <c r="I18" i="1"/>
  <c r="H18" i="1"/>
  <c r="F18" i="1"/>
  <c r="I15" i="1"/>
  <c r="H15" i="1"/>
  <c r="J15" i="1"/>
  <c r="C15" i="1"/>
  <c r="D18" i="1"/>
  <c r="E18" i="1"/>
  <c r="G15" i="1"/>
  <c r="F15" i="1"/>
  <c r="E15" i="1"/>
  <c r="D15" i="1"/>
  <c r="B19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<sst xmlns="http://schemas.openxmlformats.org/spreadsheetml/2006/main" count="187" uniqueCount="88">
  <si>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</si>
  <si>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</si>
  <si>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</si>
  <si>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</si>
  <si>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</si>
  <si>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</si>
  <si>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</si>
  <si>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</si>
  <si>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</si>
  <si>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</si>
  <si>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</si>
  <si>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</si>
  <si>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</si>
  <si>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</si>
  <si>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</si>
  <si>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</si>
  <si>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</si>
  <si>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</si>
  <si>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</si>
  <si>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</si>
  <si>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</si>
  <si>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</si>
  <si>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</si>
  <si>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</si>
  <si>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</si>
  <si>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</si>
  <si>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</si>
  <si>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</si>
  <si>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</si>
  <si>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</si>
  <si>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</si>
  <si>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</si>
  <si>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</si>
  <si>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</si>
  <si>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</si>
  <si>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</si>
  <si>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</si>
  <si>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</si>
  <si>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</si>
  <si>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</si>
  <si>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</si>
  <si>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</si>
  <si>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</si>
  <si>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</si>
  <si>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</si>
  <si>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</si>
  <si>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</si>
  <si>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</si>
  <si>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PROFILES</t>
  </si>
  <si>
    <t>Superviseur</t>
  </si>
  <si>
    <t>Bureau d'études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</si>
  <si>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</si>
  <si>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</si>
  <si>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</si>
  <si>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</si>
  <si>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</si>
  <si>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</si>
  <si>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</si>
  <si>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COMPTES</t>
  </si>
  <si>
    <t>PW</t>
  </si>
  <si>
    <t>ID_Profil</t>
  </si>
  <si>
    <t>Tristan</t>
  </si>
  <si>
    <t>Didier</t>
  </si>
  <si>
    <t>Jordan</t>
  </si>
  <si>
    <t>ID</t>
  </si>
  <si>
    <t>id_profil pour l'étape :</t>
  </si>
  <si>
    <t>Profil pour l'étape :</t>
  </si>
  <si>
    <t>pwTistan</t>
  </si>
  <si>
    <t>pwDidier</t>
  </si>
  <si>
    <t>pwJordan</t>
  </si>
  <si>
    <t>rue de mon adresse</t>
  </si>
  <si>
    <t>12 345</t>
  </si>
  <si>
    <t>MA VILLE</t>
  </si>
  <si>
    <t>Yannick</t>
  </si>
  <si>
    <t/>
  </si>
  <si>
    <t>A FAIRE</t>
  </si>
  <si>
    <t>ETAPE2</t>
  </si>
  <si>
    <t>ETAPE3</t>
  </si>
  <si>
    <t>ETAPE4</t>
  </si>
  <si>
    <t>ETAPE5</t>
  </si>
  <si>
    <t>ETAPE6</t>
  </si>
  <si>
    <t>ETAPE7</t>
  </si>
  <si>
    <t>ETAPE8</t>
  </si>
  <si>
    <t>ETAPE1</t>
  </si>
  <si>
    <t>PAQ1</t>
  </si>
  <si>
    <t>PAQ2</t>
  </si>
  <si>
    <t>PAQ3</t>
  </si>
  <si>
    <t>PETIT PROJET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</si>
</sst>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8C8C8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98">
    <xf numFmtId="0" fontId="0" fillId="0" borderId="0" xfId="0"/>
    <xf numFmtId="0" fontId="21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1" fillId="0" borderId="0" xfId="1" applyFont="1" applyBorder="1" applyAlignment="1">
      <alignment horizontal="center" vertic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9" fontId="3" fillId="7" borderId="0" xfId="1" applyNumberFormat="1" applyFont="1" applyFill="1" applyAlignment="1">
      <alignment horizontal="center" vertical="center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22"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rgb="FF000000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numFmt numFmtId="0" formatCode="General"/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2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2</xdr:col>
      <xdr:colOff>182569</xdr:colOff>
      <xdr:row>6</xdr:row>
      <xdr:rowOff>240935</xdr:rowOff>
    </xdr:from>
    <xdr:to>
      <xdr:col>2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2</xdr:col>
      <xdr:colOff>462292</xdr:colOff>
      <xdr:row>6</xdr:row>
      <xdr:rowOff>240935</xdr:rowOff>
    </xdr:from>
    <xdr:to>
      <xdr:col>2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2</xdr:col>
      <xdr:colOff>742015</xdr:colOff>
      <xdr:row>6</xdr:row>
      <xdr:rowOff>240935</xdr:rowOff>
    </xdr:from>
    <xdr:to>
      <xdr:col>3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3</xdr:col>
      <xdr:colOff>105874</xdr:colOff>
      <xdr:row>6</xdr:row>
      <xdr:rowOff>240935</xdr:rowOff>
    </xdr:from>
    <xdr:to>
      <xdr:col>3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2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4</xdr:col>
      <xdr:colOff>197071</xdr:colOff>
      <xdr:row>8</xdr:row>
      <xdr:rowOff>112985</xdr:rowOff>
    </xdr:from>
    <xdr:to>
      <xdr:col>5</xdr:col>
      <xdr:colOff>32847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094994" y="1204697"/>
          <a:ext cx="751641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323196</xdr:colOff>
      <xdr:row>8</xdr:row>
      <xdr:rowOff>112985</xdr:rowOff>
    </xdr:from>
    <xdr:to>
      <xdr:col>4</xdr:col>
      <xdr:colOff>158971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05254" y="1204697"/>
          <a:ext cx="75164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  <xdr:twoCellAnchor editAs="absolute">
    <xdr:from>
      <xdr:col>6</xdr:col>
      <xdr:colOff>14656</xdr:colOff>
      <xdr:row>4</xdr:row>
      <xdr:rowOff>29307</xdr:rowOff>
    </xdr:from>
    <xdr:to>
      <xdr:col>8</xdr:col>
      <xdr:colOff>7326</xdr:colOff>
      <xdr:row>6</xdr:row>
      <xdr:rowOff>173717</xdr:rowOff>
    </xdr:to>
    <xdr:sp macro="[0]!Bouton_Ajout_Projet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36483311-FAF3-48C7-89DD-EF8F33ED9BA5}"/>
            </a:ext>
          </a:extLst>
        </xdr:cNvPr>
        <xdr:cNvSpPr/>
      </xdr:nvSpPr>
      <xdr:spPr>
        <a:xfrm>
          <a:off x="5744310" y="637442"/>
          <a:ext cx="1824401" cy="217679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LE PROJET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A5B33-89B8-4BF8-B541-CD70193AB27B}" name="T_PROFILES" displayName="T_PROFILES" ref="B2:C10" totalsRowShown="0">
  <autoFilter ref="B2:C10" xr:uid="{894A5B33-89B8-4BF8-B541-CD70193AB27B}"/>
  <tableColumns count="2">
    <tableColumn id="1" xr3:uid="{D28A8B4B-5BEA-44D9-A5BE-66C93C5E729C}" name="PROFILES"/>
    <tableColumn id="2" xr3:uid="{B121DD11-0D26-431F-B3DA-5C13554CAEEE}" name="I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F9C557-FD6A-43CF-80F4-524464FFAAFE}" name="T_COMPTES" displayName="T_COMPTES" ref="E2:H5" totalsRowShown="0">
  <autoFilter ref="E2:H5" xr:uid="{CBF9C557-FD6A-43CF-80F4-524464FFAAFE}"/>
  <tableColumns count="4">
    <tableColumn id="1" xr3:uid="{038B18BE-71CF-4B34-AF7C-F01E8C97FD06}" name="COMPTES"/>
    <tableColumn id="2" xr3:uid="{2D5D3764-CF57-4528-BD93-89B13F327DB4}" name="PW"/>
    <tableColumn id="3" xr3:uid="{104ED893-8541-4AE4-BC26-4A74F89A2C67}" name="ID_Profil"/>
    <tableColumn id="4" xr3:uid="{0D4AF1B5-2D48-4212-8276-9AE24B781619}" name="PROFILES" dataDxfId="12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J20" totalsRowShown="0" headerRowDxfId="118" dataDxfId="117">
  <autoFilter ref="B17:J20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B18:J20">
    <sortCondition sortBy="cellColor" ref="B17:B20" dxfId="116"/>
  </sortState>
  <tableColumns count="9">
    <tableColumn id="1" xr3:uid="{1DDE7D33-1C4F-4E6B-929A-5F9D062600A3}" name="PAQUETS" dataDxfId="0" dataCellStyle="NiveauColonne_1"/>
    <tableColumn id="2" xr3:uid="{1A76A93F-0AD8-4B65-8B33-AA12EA746B9A}" name="ETAPE1" dataDxfId="1">
      <calculatedColumnFormula>IF(COUNTIF(T_QUINCAILLERIE_Paquet_Atelier[Paquet],$B18)&gt;0,"VOIR LISTE","")</calculatedColumnFormula>
    </tableColumn>
    <tableColumn id="3" xr3:uid="{51289589-B4D0-4557-809C-6E97AC786BC3}" name="ETAPE2" dataDxfId="115">
      <calculatedColumnFormula>IF(COUNTIF(T_ZINGUERIE_Paquet_Atelier[Paquet],$B18)&gt;0,"VOIR LISTE","")</calculatedColumnFormula>
    </tableColumn>
    <tableColumn id="4" xr3:uid="{2D40699B-6447-4102-8AAC-6EF641F34DC7}" name="ETAPE3" dataDxfId="114">
      <calculatedColumnFormula>IF(COUNTIF(T_PREPA_Paquet_Atelier[Paquet],$B18)&gt;0,"VOIR LISTE","")</calculatedColumnFormula>
    </tableColumn>
    <tableColumn id="5" xr3:uid="{1F20B2D4-E68E-486B-90A9-7BB5761C6523}" name="ETAPE4" dataDxfId="113">
      <calculatedColumnFormula>"A FAIRE"</calculatedColumnFormula>
    </tableColumn>
    <tableColumn id="8" xr3:uid="{4BD30468-6C73-4EFB-B0B5-0EFA3CE42393}" name="ETAPE5" dataDxfId="112"/>
    <tableColumn id="6" xr3:uid="{7C679719-82C8-4026-98EE-B817D40FAA5C}" name="ETAPE6" dataDxfId="111">
      <calculatedColumnFormula>"A FAIRE"</calculatedColumnFormula>
    </tableColumn>
    <tableColumn id="7" xr3:uid="{C208AC88-55A4-4011-964E-7FAF4C62A90D}" name="ETAPE7" dataDxfId="110">
      <calculatedColumnFormula>"A FAIRE"</calculatedColumnFormula>
    </tableColumn>
    <tableColumn id="9" xr3:uid="{19603D6A-6E39-40C5-8528-DDE594A94DA9}" name="ETAPE8" dataDxfId="109">
      <calculatedColumnFormula>"A FAIRE"</calculatedColumnFormula>
    </tableColumn>
  </tableColumns>
  <tableStyleInfo name="TableStyleMedium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1" totalsRowShown="0" headerRowDxfId="108" dataDxfId="107">
  <autoFilter ref="C6:L11" xr:uid="{E6F69E36-6B87-4392-ACAC-167594C47961}"/>
  <tableColumns count="10">
    <tableColumn id="1" xr3:uid="{3C9285F5-9AA2-4DE7-A913-B0F6828D1FFB}" name="Désignation" dataDxfId="106"/>
    <tableColumn id="6" xr3:uid="{41A77DBE-BC57-4B8D-A01A-CECE86F2A68D}" name="N°" dataDxfId="105"/>
    <tableColumn id="2" xr3:uid="{08BC5E2B-D319-485C-95F6-A5B0569E440E}" name="Matériau" dataDxfId="104"/>
    <tableColumn id="9" xr3:uid="{5DC77A81-A2BE-475B-B2F9-964DD26B3E5F}" name="Essence" dataDxfId="103"/>
    <tableColumn id="8" xr3:uid="{CAAD0ABD-8D4A-43A6-B9B6-CD66D42CACA5}" name="Classe" dataDxfId="102"/>
    <tableColumn id="7" xr3:uid="{24230057-B61A-4518-95D2-4781554FC300}" name="Dimension" dataDxfId="101"/>
    <tableColumn id="10" xr3:uid="{D9591ABC-A97F-42DB-A292-1CB89996A203}" name="Long." dataDxfId="100"/>
    <tableColumn id="4" xr3:uid="{384EE755-9379-4218-A56F-4630BEFB3D80}" name="Qté" dataDxfId="99"/>
    <tableColumn id="3" xr3:uid="{EF4C7AD8-65B9-4A84-AA3F-7794343A6D50}" name="-" dataDxfId="98"/>
    <tableColumn id="5" xr3:uid="{79CEC700-FD16-48E6-8A16-B9B2BD99288F}" name="Prêt" dataDxfId="97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4:L19" totalsRowShown="0" headerRowDxfId="96" dataDxfId="95">
  <autoFilter ref="B14:L19" xr:uid="{B04758A5-4480-4251-B0FC-4D5B5F6F2E5D}"/>
  <sortState xmlns:xlrd2="http://schemas.microsoft.com/office/spreadsheetml/2017/richdata2" ref="B15:L19">
    <sortCondition ref="B14:B19"/>
  </sortState>
  <tableColumns count="11">
    <tableColumn id="1" xr3:uid="{EEF5FFC9-D2B7-4DE0-84B9-895BCD7AD291}" name="Paquet" dataDxfId="94"/>
    <tableColumn id="5" xr3:uid="{B9371F0E-5ACE-42D5-9351-D47F361F4162}" name="Désignation" dataDxfId="93"/>
    <tableColumn id="6" xr3:uid="{6366193C-8BFF-4D65-AEA5-1BB413637A0C}" name="N°" dataDxfId="92"/>
    <tableColumn id="2" xr3:uid="{3D1F1A55-A0EF-4D39-B9B4-6708DC4F4926}" name="Matériau" dataDxfId="91"/>
    <tableColumn id="11" xr3:uid="{08E47012-9C0F-4509-B7AE-E2EEE872CD76}" name="Essence" dataDxfId="90"/>
    <tableColumn id="10" xr3:uid="{EF04AC4A-F3FB-4979-97C7-93DBE11EA520}" name="Classe" dataDxfId="89"/>
    <tableColumn id="9" xr3:uid="{059A3117-C034-4DB0-A4A0-CCC4583162AA}" name="Dimension" dataDxfId="88"/>
    <tableColumn id="8" xr3:uid="{D73772F5-A087-46AB-81C1-1DA9FEBD9ED6}" name="Long." dataDxfId="87"/>
    <tableColumn id="4" xr3:uid="{A8C83324-3449-4B81-B1D1-15F0A0B1D6C4}" name="Qté" dataDxfId="86"/>
    <tableColumn id="3" xr3:uid="{FD5A83DF-66D0-441B-A521-933A4D569CAE}" name=" " dataDxfId="85"/>
    <tableColumn id="7" xr3:uid="{D237E472-4C1F-4EC5-82C0-D955B5585D6B}" name="Prêt" dataDxfId="84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2:L26" totalsRowShown="0" headerRowDxfId="83" dataDxfId="82">
  <autoFilter ref="B22:L26" xr:uid="{F50FD31C-85AD-475A-9550-553217FB2E05}"/>
  <sortState xmlns:xlrd2="http://schemas.microsoft.com/office/spreadsheetml/2017/richdata2" ref="B23:L26">
    <sortCondition ref="B22:B26"/>
  </sortState>
  <tableColumns count="11">
    <tableColumn id="1" xr3:uid="{015D8C7C-A6D3-4E55-82FB-762C5E94847B}" name="Paquet" dataDxfId="81"/>
    <tableColumn id="5" xr3:uid="{23316E6C-5A06-4803-849F-19C4B5754D7B}" name="Désignation" dataDxfId="80"/>
    <tableColumn id="6" xr3:uid="{A41FE746-E379-4860-B006-FD7ECD1B348A}" name="N°" dataDxfId="79"/>
    <tableColumn id="2" xr3:uid="{D64EF94E-2850-467A-999E-F1B5B6323926}" name="Matériau" dataDxfId="78"/>
    <tableColumn id="11" xr3:uid="{E9F04B14-992E-4E89-A8FB-4F9D4940AB52}" name="Essence" dataDxfId="77"/>
    <tableColumn id="10" xr3:uid="{D6DF61E6-EA78-42E3-914B-1E49B8730BC8}" name="Classe" dataDxfId="76"/>
    <tableColumn id="9" xr3:uid="{3234CC7B-6216-469F-BB7B-9C2615ABDD51}" name="Dimension" dataDxfId="75"/>
    <tableColumn id="8" xr3:uid="{AE548F6D-DCCB-4499-9033-6003BEE44B35}" name="Long." dataDxfId="74"/>
    <tableColumn id="4" xr3:uid="{35D29AAE-2F99-4053-A3EB-4E58AA40A491}" name="Qté" dataDxfId="73"/>
    <tableColumn id="3" xr3:uid="{37860936-457A-44D8-B745-BF2EB1E75018}" name=" " dataDxfId="72"/>
    <tableColumn id="7" xr3:uid="{CE3BD76C-EF1C-47B3-80B8-E2C177AB3E24}" name="Prêt" dataDxfId="71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9" totalsRowShown="0" headerRowDxfId="70" dataDxfId="69">
  <autoFilter ref="B9:G19" xr:uid="{E6F69E36-6B87-4392-ACAC-167594C47961}"/>
  <tableColumns count="6">
    <tableColumn id="6" xr3:uid="{DC2E6C18-F416-4A3F-AAD2-B94DF8FBD233}" name="Assemblage" dataDxfId="68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7"/>
    <tableColumn id="2" xr3:uid="{1B80AB11-2AFA-4D00-B7A5-D5F9939842A0}" name="Matériau" dataDxfId="66"/>
    <tableColumn id="4" xr3:uid="{ECD12A10-ACB3-42FD-864A-36DF1F3A491D}" name="Qté" dataDxfId="65"/>
    <tableColumn id="3" xr3:uid="{20AD6782-2692-47A2-8CB0-5404E67F160D}" name="-" dataDxfId="64"/>
    <tableColumn id="5" xr3:uid="{2DE09A4F-B885-4B60-AE7C-442ED7AEBD4B}" name="Prêt" dataDxfId="63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22:G27" totalsRowShown="0" headerRowDxfId="62" dataDxfId="61">
  <autoFilter ref="B22:G27" xr:uid="{B04758A5-4480-4251-B0FC-4D5B5F6F2E5D}"/>
  <sortState xmlns:xlrd2="http://schemas.microsoft.com/office/spreadsheetml/2017/richdata2" ref="B23:G27">
    <sortCondition ref="B22:B27"/>
  </sortState>
  <tableColumns count="6">
    <tableColumn id="1" xr3:uid="{568A0ABF-7181-4A81-B6FF-11156586AAA0}" name="Paquet" dataDxfId="60"/>
    <tableColumn id="5" xr3:uid="{AAB4B5C2-9D6D-497C-97D9-CACB5BF81D52}" name="Désignation" dataDxfId="59"/>
    <tableColumn id="2" xr3:uid="{10AFE9B3-28D5-48D0-8C64-AE27B8AEB6A4}" name="Matériau" dataDxfId="58"/>
    <tableColumn id="4" xr3:uid="{883B7CC3-8E16-403A-AFA8-3937CFBE7A9A}" name="Qté" dataDxfId="57"/>
    <tableColumn id="3" xr3:uid="{DAFBE898-55D6-48AA-90F7-DFDCEE72602C}" name="-" dataDxfId="56"/>
    <tableColumn id="7" xr3:uid="{08D0FFCF-68B8-4CF1-A428-B7E27D5EBB8F}" name="Prêt" dataDxfId="55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30:G39" totalsRowShown="0" headerRowDxfId="54" dataDxfId="53">
  <autoFilter ref="B30:G39" xr:uid="{F50FD31C-85AD-475A-9550-553217FB2E05}"/>
  <sortState xmlns:xlrd2="http://schemas.microsoft.com/office/spreadsheetml/2017/richdata2" ref="B31:G39">
    <sortCondition ref="B30:B39"/>
  </sortState>
  <tableColumns count="6">
    <tableColumn id="1" xr3:uid="{8985EE59-301A-4C81-B0F4-F1A65F3736AF}" name="Paquet" dataDxfId="52"/>
    <tableColumn id="5" xr3:uid="{9B5A1DBF-E76D-41B1-BA95-DAAFC022403D}" name="Désignation" dataDxfId="51"/>
    <tableColumn id="2" xr3:uid="{3C92091E-9806-4893-822D-32EB4B8B6EF6}" name="Matériau" dataDxfId="50"/>
    <tableColumn id="4" xr3:uid="{9D6C9F1A-6DDC-4C50-B353-7832D2903CC8}" name="Qté" dataDxfId="49"/>
    <tableColumn id="3" xr3:uid="{0275CD9A-60E3-4040-8799-97CE1CFC85AC}" name="-" dataDxfId="48"/>
    <tableColumn id="7" xr3:uid="{4FA61316-A09B-4BD0-8CC1-D4691C5CF818}" name="Prêt" dataDxfId="47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6" dataDxfId="45">
  <autoFilter ref="C9:G13" xr:uid="{E6F69E36-6B87-4392-ACAC-167594C47961}"/>
  <tableColumns count="5">
    <tableColumn id="1" xr3:uid="{53F5511C-D9AA-4CD6-8F86-EA8A2AC9C03D}" name="Désignation" dataDxfId="44"/>
    <tableColumn id="2" xr3:uid="{DC12BEFC-2390-4CB3-83CA-23A7A5FBCCF8}" name="Matériau" dataDxfId="43"/>
    <tableColumn id="4" xr3:uid="{10D2BC47-EE7B-4DA5-B929-ED292BBA0465}" name="Qté" dataDxfId="42"/>
    <tableColumn id="3" xr3:uid="{773AD0BE-65BF-46EA-A426-40576B028785}" name="-" dataDxfId="41"/>
    <tableColumn id="5" xr3:uid="{7D4797A5-A4FC-412A-9005-6482DF24B14D}" name="Prêt" dataDxfId="40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9" dataDxfId="38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7"/>
    <tableColumn id="5" xr3:uid="{4EC9F0F0-F862-47F3-BAE2-AFD228CCC6EE}" name="Désignation" dataDxfId="36"/>
    <tableColumn id="2" xr3:uid="{F554D378-18CF-4123-8CA2-4089C8D4E44B}" name="Matériau" dataDxfId="35"/>
    <tableColumn id="4" xr3:uid="{9125C89C-B294-444E-A703-40CF9B7288A4}" name="Qté" dataDxfId="34"/>
    <tableColumn id="3" xr3:uid="{E8C43B02-2FF0-45E1-A1F9-9B75D14E6410}" name="-" dataDxfId="33"/>
    <tableColumn id="7" xr3:uid="{8D660AE0-ABCF-4C64-B5A8-049D8F0FC894}" name="Prêt" dataDxfId="32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31" dataDxfId="30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9"/>
    <tableColumn id="5" xr3:uid="{F1B6DF65-6852-48C0-9B7E-077EDA338CEB}" name="Désignation" dataDxfId="28"/>
    <tableColumn id="2" xr3:uid="{E1941A86-78A2-465C-920A-C64175AFE9CE}" name="Matériau" dataDxfId="27"/>
    <tableColumn id="4" xr3:uid="{6C1A886F-4582-48C4-A07B-2773E705F87B}" name="Qté" dataDxfId="26"/>
    <tableColumn id="3" xr3:uid="{D61FDB89-F701-4038-864D-A22CF9B6F857}" name="-" dataDxfId="25"/>
    <tableColumn id="7" xr3:uid="{0017B7BF-DB60-4D03-93B8-8ACABC255EC5}" name="Prêt" dataDxfId="24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5" totalsRowShown="0">
  <autoFilter ref="B3:E5" xr:uid="{98138935-7AB4-4201-AE23-C4A55AC3A9DE}"/>
  <tableColumns count="4">
    <tableColumn id="1" xr3:uid="{061700C4-4C54-4FE4-AE87-FA75BB41E298}" name="Element de" dataDxfId="23"/>
    <tableColumn id="2" xr3:uid="{A50C459A-B7E9-499C-8E84-5126390CA2E7}" name="Désignation" dataDxfId="22"/>
    <tableColumn id="4" xr3:uid="{04561609-7610-47BA-A52C-61458D0C96B3}" name="N°" dataDxfId="21"/>
    <tableColumn id="5" xr3:uid="{69DCEDE7-8648-43CD-B76F-E15350E8F739}" name="Qté" dataDxfId="20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9"/>
    <tableColumn id="3" xr3:uid="{69337440-2982-4719-A550-8A5D7A788945}" name="Largeur" dataDxfId="18"/>
    <tableColumn id="4" xr3:uid="{7D97E299-C651-44EA-B203-3E7F649B9DAC}" name="Epaisseur" dataDxfId="17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6" dataDxfId="15">
  <autoFilter ref="B10:F12" xr:uid="{E34661AD-B7A6-44EF-B91C-FBB6389459CA}"/>
  <tableColumns count="5">
    <tableColumn id="1" xr3:uid="{CB739DEC-7F17-4BD6-A772-DED76040C16F}" name="Paquet" dataDxfId="14"/>
    <tableColumn id="2" xr3:uid="{0BD5DA46-D502-4FD6-8F8B-7598A7A25020}" name="Matériau" dataDxfId="13"/>
    <tableColumn id="3" xr3:uid="{8AA6D28E-346F-445F-973C-190D62435A43}" name="Classe" dataDxfId="12"/>
    <tableColumn id="5" xr3:uid="{993EAAAD-BB0D-40FC-A1E4-B623E959C8BE}" name="Finition" dataDxfId="11"/>
    <tableColumn id="4" xr3:uid="{3215A35F-0672-4A5A-B60B-A7E841030132}" name="Volume" dataDxfId="10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9" dataDxfId="8">
  <autoFilter ref="C4:D6" xr:uid="{082B26DB-E9DC-4907-BBDE-FE7C47980DB2}"/>
  <tableColumns count="2">
    <tableColumn id="1" xr3:uid="{3079D95F-4715-4D5A-87D3-2E18BB67CF58}" name="Questions" dataDxfId="7"/>
    <tableColumn id="2" xr3:uid="{0CE675B3-B9CC-48EC-8217-C7FFA0A1F42B}" name="Traité" dataDxfId="6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5" dataDxfId="4">
  <autoFilter ref="C13:D15" xr:uid="{04B3D69A-DE50-4EE4-BD37-F8C661DDA37A}"/>
  <tableColumns count="2">
    <tableColumn id="1" xr3:uid="{043E2E4C-68FB-44E8-8006-6B3CE81B28AD}" name="Penses Bête" dataDxfId="3"/>
    <tableColumn id="2" xr3:uid="{2B8FEE09-7BCB-4BFD-A1C8-CAA9014A5E03}" name="Traité" dataDxfId="2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H10"/>
  <sheetViews>
    <sheetView showGridLines="0" workbookViewId="0">
      <selection activeCell="F13" sqref="F13"/>
    </sheetView>
  </sheetViews>
  <sheetFormatPr baseColWidth="10" defaultRowHeight="15" x14ac:dyDescent="0.25"/>
  <cols>
    <col min="1" max="1" width="4.42578125" customWidth="1"/>
    <col min="2" max="2" width="38.7109375" customWidth="1"/>
    <col min="3" max="3" width="11.42578125" customWidth="1"/>
    <col min="6" max="7" width="11.42578125" customWidth="1"/>
  </cols>
  <sheetData>
    <row r="2" spans="2:8" x14ac:dyDescent="0.25">
      <c r="B2" t="s">
        <v>48</v>
      </c>
      <c r="C2" t="s">
        <v>64</v>
      </c>
      <c r="E2" t="s">
        <v>58</v>
      </c>
      <c r="F2" t="s">
        <v>59</v>
      </c>
      <c r="G2" t="s">
        <v>60</v>
      </c>
      <c r="H2" t="s">
        <v>48</v>
      </c>
    </row>
    <row r="3" spans="2:8" x14ac:dyDescent="0.25">
      <c r="B3" t="s">
        <v>49</v>
      </c>
      <c r="C3">
        <v>1</v>
      </c>
      <c r="E3" t="s">
        <v>61</v>
      </c>
      <c r="F3" t="s">
        <v>67</v>
      </c>
      <c r="G3">
        <v>1</v>
      </c>
    </row>
    <row r="4" spans="2:8" x14ac:dyDescent="0.25">
      <c r="B4" t="s">
        <v>50</v>
      </c>
      <c r="C4">
        <v>2</v>
      </c>
      <c r="E4" t="s">
        <v>62</v>
      </c>
      <c r="F4" t="s">
        <v>68</v>
      </c>
      <c r="G4">
        <v>3</v>
      </c>
    </row>
    <row r="5" spans="2:8" x14ac:dyDescent="0.25">
      <c r="B5" t="s">
        <v>51</v>
      </c>
      <c r="C5">
        <v>3</v>
      </c>
      <c r="E5" t="s">
        <v>63</v>
      </c>
      <c r="F5" t="s">
        <v>69</v>
      </c>
      <c r="G5">
        <v>3</v>
      </c>
    </row>
    <row r="6" spans="2:8" x14ac:dyDescent="0.25">
      <c r="B6" t="s">
        <v>52</v>
      </c>
      <c r="C6">
        <v>4</v>
      </c>
    </row>
    <row r="7" spans="2:8" x14ac:dyDescent="0.25">
      <c r="B7" t="s">
        <v>53</v>
      </c>
      <c r="C7">
        <v>5</v>
      </c>
    </row>
    <row r="8" spans="2:8" x14ac:dyDescent="0.25">
      <c r="B8" t="s">
        <v>55</v>
      </c>
      <c r="C8">
        <v>6</v>
      </c>
    </row>
    <row r="9" spans="2:8" x14ac:dyDescent="0.25">
      <c r="B9" t="s">
        <v>54</v>
      </c>
      <c r="C9">
        <v>7</v>
      </c>
    </row>
    <row r="10" spans="2:8" x14ac:dyDescent="0.25">
      <c r="B10" t="s">
        <v>56</v>
      </c>
      <c r="C10">
        <v>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1"/>
  <sheetViews>
    <sheetView showGridLines="0" tabSelected="1" zoomScale="115" zoomScaleNormal="115" zoomScaleSheetLayoutView="130" workbookViewId="0">
      <pane ySplit="17" topLeftCell="A18" activePane="bottomLeft" state="frozen"/>
      <selection pane="bottomLeft" activeCell="B25" sqref="B25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1"/>
      <c r="D1" s="51"/>
      <c r="E1" s="51"/>
      <c r="F1" s="51"/>
      <c r="G1" s="51"/>
      <c r="H1" s="51"/>
      <c r="I1" s="51"/>
      <c r="J1" s="51"/>
      <c r="K1" s="53"/>
      <c r="L1" s="52"/>
      <c r="M1" s="53"/>
      <c r="N1" s="53"/>
      <c r="O1" s="53"/>
      <c r="P1" s="53"/>
      <c r="Q1" s="53"/>
      <c r="R1" s="53"/>
      <c r="S1" s="53"/>
    </row>
    <row r="2" spans="2:19" ht="16.5" customHeight="1" thickBot="1" x14ac:dyDescent="0.3"/>
    <row r="3" spans="2:19" ht="15.75" customHeight="1" x14ac:dyDescent="0.25">
      <c r="B3" s="70" t="s">
        <v>57</v>
      </c>
      <c r="C3" s="78" t="s">
        <v>44</v>
      </c>
      <c r="D3" s="37" t="s">
        <v>1</v>
      </c>
      <c r="E3" s="71" t="s">
        <v>73</v>
      </c>
      <c r="F3" s="72"/>
      <c r="G3" s="77" t="s">
        <v>87</v>
      </c>
      <c r="H3" s="68"/>
      <c r="I3" s="75" t="s">
        <v>70</v>
      </c>
      <c r="J3" s="76"/>
      <c r="K3" s="1" t="s">
        <v>45</v>
      </c>
      <c r="L3" s="37" t="s">
        <v>1</v>
      </c>
      <c r="M3" s="62" t="str">
        <f>Projet_Suivi_par</f>
        <v>Yannick</v>
      </c>
      <c r="N3" s="63"/>
      <c r="O3" s="68" t="str">
        <f>Projet_ref</f>
        <v>PETIT PROJET TEST</v>
      </c>
      <c r="P3" s="68"/>
      <c r="Q3" s="64" t="str">
        <f xml:space="preserve"> Projet_Adresse</f>
        <v>rue de mon adresse</v>
      </c>
      <c r="R3" s="64"/>
    </row>
    <row r="4" spans="2:19" ht="15.75" customHeight="1" thickBot="1" x14ac:dyDescent="0.3">
      <c r="B4" s="70"/>
      <c r="C4" s="78"/>
      <c r="D4" s="38" t="s">
        <v>2</v>
      </c>
      <c r="E4" s="73" t="s">
        <v>74</v>
      </c>
      <c r="F4" s="74"/>
      <c r="G4" s="69"/>
      <c r="H4" s="69"/>
      <c r="I4" s="45" t="s">
        <v>71</v>
      </c>
      <c r="J4" s="46" t="s">
        <v>72</v>
      </c>
      <c r="K4" s="1"/>
      <c r="L4" s="38" t="s">
        <v>2</v>
      </c>
      <c r="M4" s="65" t="str">
        <f>Projet_Conducteur</f>
        <v/>
      </c>
      <c r="N4" s="66"/>
      <c r="O4" s="69"/>
      <c r="P4" s="69"/>
      <c r="Q4" s="67" t="str">
        <f xml:space="preserve"> Projet_CP</f>
        <v>12 345</v>
      </c>
      <c r="R4" s="67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0</v>
      </c>
      <c r="F11" s="20" t="s">
        <v>41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42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43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  <c r="L14"/>
    </row>
    <row r="15" spans="2:19" ht="15" hidden="1" customHeight="1" x14ac:dyDescent="0.25">
      <c r="B15" s="48" t="s">
        <v>65</v>
      </c>
      <c r="C15" s="47">
        <f>_xlfn.XLOOKUP(C16,T_PROFILES[PROFILES],T_PROFILES[ID],"",0)</f>
        <v>5</v>
      </c>
      <c r="D15" s="47">
        <f>_xlfn.XLOOKUP(D16,T_PROFILES[PROFILES],T_PROFILES[ID],"",0)</f>
        <v>4</v>
      </c>
      <c r="E15" s="47">
        <f>_xlfn.XLOOKUP(E16,T_PROFILES[PROFILES],T_PROFILES[ID],"",0)</f>
        <v>3</v>
      </c>
      <c r="F15" s="47">
        <f>_xlfn.XLOOKUP(F16,T_PROFILES[PROFILES],T_PROFILES[ID],"",0)</f>
        <v>3</v>
      </c>
      <c r="G15" s="47">
        <f>_xlfn.XLOOKUP(G16,T_PROFILES[PROFILES],T_PROFILES[ID],"",0)</f>
        <v>3</v>
      </c>
      <c r="H15" s="47">
        <f>_xlfn.XLOOKUP(H16,T_PROFILES[PROFILES],T_PROFILES[ID],"",0)</f>
        <v>3</v>
      </c>
      <c r="I15" s="47">
        <f>_xlfn.XLOOKUP(I16,T_PROFILES[PROFILES],T_PROFILES[ID],"",0)</f>
        <v>3</v>
      </c>
      <c r="J15" s="47">
        <f>_xlfn.XLOOKUP(J16,T_PROFILES[PROFILES],T_PROFILES[ID],"",0)</f>
        <v>3</v>
      </c>
      <c r="L15"/>
    </row>
    <row r="16" spans="2:19" s="49" customFormat="1" ht="11.25" hidden="1" customHeight="1" x14ac:dyDescent="0.2">
      <c r="B16" s="50" t="s">
        <v>66</v>
      </c>
      <c r="C16" s="50" t="s">
        <v>53</v>
      </c>
      <c r="D16" s="50" t="s">
        <v>52</v>
      </c>
      <c r="E16" s="50" t="s">
        <v>51</v>
      </c>
      <c r="F16" s="50" t="s">
        <v>51</v>
      </c>
      <c r="G16" s="50" t="s">
        <v>51</v>
      </c>
      <c r="H16" s="50" t="s">
        <v>51</v>
      </c>
      <c r="I16" s="50" t="s">
        <v>51</v>
      </c>
      <c r="J16" s="50" t="s">
        <v>51</v>
      </c>
    </row>
    <row r="17" spans="1:12" x14ac:dyDescent="0.25">
      <c r="B17" s="43" t="s">
        <v>0</v>
      </c>
      <c r="C17" s="42" t="s">
        <v>83</v>
      </c>
      <c r="D17" s="42" t="s">
        <v>76</v>
      </c>
      <c r="E17" s="42" t="s">
        <v>77</v>
      </c>
      <c r="F17" s="42" t="s">
        <v>78</v>
      </c>
      <c r="G17" s="42" t="s">
        <v>79</v>
      </c>
      <c r="H17" s="42" t="s">
        <v>80</v>
      </c>
      <c r="I17" s="42" t="s">
        <v>81</v>
      </c>
      <c r="J17" s="42" t="s">
        <v>82</v>
      </c>
      <c r="L17"/>
    </row>
    <row r="18" spans="1:12" ht="24.95" customHeight="1" x14ac:dyDescent="0.25">
      <c r="B18" s="97" t="s">
        <v>84</v>
      </c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>VOIR LISTE</v>
      </c>
      <c r="F18" s="44" t="str">
        <f>"A FAIRE"</f>
        <v>A FAIRE</v>
      </c>
      <c r="G18" s="44"/>
      <c r="H18" s="44" t="str">
        <f t="shared" ref="H18:J19" si="0">"A FAIRE"</f>
        <v>A FAIRE</v>
      </c>
      <c r="I18" s="44" t="str">
        <f t="shared" si="0"/>
        <v>A FAIRE</v>
      </c>
      <c r="J18" s="44" t="str">
        <f t="shared" si="0"/>
        <v>A FAIRE</v>
      </c>
      <c r="L18"/>
    </row>
    <row r="19" spans="1:12" ht="24.95" customHeight="1" x14ac:dyDescent="0.25">
      <c r="A19" s="44"/>
      <c r="B19" s="97" t="s">
        <v>85</v>
      </c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>VOIR LISTE</v>
      </c>
      <c r="E19" s="44" t="str">
        <f>IF(COUNTIF(T_PREPA_Paquet_Atelier[Paquet],$B19)&gt;0,"VOIR LISTE","")</f>
        <v/>
      </c>
      <c r="F19" s="44" t="str">
        <f>"A FAIRE"</f>
        <v>A FAIRE</v>
      </c>
      <c r="G19" s="44"/>
      <c r="H19" s="44" t="str">
        <f t="shared" si="0"/>
        <v>A FAIRE</v>
      </c>
      <c r="I19" s="44" t="str">
        <f t="shared" si="0"/>
        <v>A FAIRE</v>
      </c>
      <c r="J19" s="44" t="str">
        <f t="shared" si="0"/>
        <v>A FAIRE</v>
      </c>
      <c r="L19"/>
    </row>
    <row r="20" spans="1:12" ht="24.95" customHeight="1" x14ac:dyDescent="0.25">
      <c r="B20" s="97" t="s">
        <v>86</v>
      </c>
      <c r="C20" s="44" t="str">
        <f>IF(COUNTIF(T_QUINCAILLERIE_Paquet_Atelier[Paquet],$B20)&gt;0,"VOIR LISTE","")</f>
        <v>VOIR LISTE</v>
      </c>
      <c r="D20" s="44" t="str">
        <f>IF(COUNTIF(T_ZINGUERIE_Paquet_Atelier[Paquet],$B20)&gt;0,"VOIR LISTE","")</f>
        <v/>
      </c>
      <c r="E20" s="44" t="str">
        <f>IF(COUNTIF(T_PREPA_Paquet_Atelier[Paquet],$B20)&gt;0,"VOIR LISTE","")</f>
        <v/>
      </c>
      <c r="F20" s="44" t="str">
        <f>"A FAIRE"</f>
        <v>A FAIRE</v>
      </c>
      <c r="G20" s="44" t="s">
        <v>75</v>
      </c>
      <c r="H20" s="44" t="str">
        <f>"A FAIRE"</f>
        <v>A FAIRE</v>
      </c>
      <c r="I20" s="44"/>
      <c r="J20" s="44" t="str">
        <f>"A FAIRE"</f>
        <v>A FAIRE</v>
      </c>
      <c r="L20"/>
    </row>
    <row r="21" spans="1:12" ht="24.95" customHeight="1" x14ac:dyDescent="0.25"/>
    <row r="22" spans="1:12" ht="24.95" customHeight="1" x14ac:dyDescent="0.25"/>
    <row r="23" spans="1:12" ht="24.95" customHeight="1" x14ac:dyDescent="0.25"/>
    <row r="24" spans="1:12" ht="24.95" customHeight="1" x14ac:dyDescent="0.25"/>
    <row r="25" spans="1:12" ht="24.95" customHeight="1" x14ac:dyDescent="0.25"/>
    <row r="26" spans="1:12" ht="24.95" customHeight="1" x14ac:dyDescent="0.25"/>
    <row r="27" spans="1:12" ht="24.95" customHeight="1" x14ac:dyDescent="0.25"/>
    <row r="28" spans="1:12" ht="24.95" customHeight="1" x14ac:dyDescent="0.25"/>
    <row r="29" spans="1:12" ht="24.95" customHeight="1" x14ac:dyDescent="0.25"/>
    <row r="30" spans="1:12" ht="24.95" customHeight="1" x14ac:dyDescent="0.25"/>
    <row r="31" spans="1:12" ht="24.95" customHeight="1" x14ac:dyDescent="0.25"/>
    <row r="32" spans="1:1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</sheetData>
  <sheetProtection formatCells="0" formatColumns="0" formatRows="0" insertRows="0" deleteRows="0" sort="0"/>
  <mergeCells count="12">
    <mergeCell ref="B3:B4"/>
    <mergeCell ref="E3:F3"/>
    <mergeCell ref="E4:F4"/>
    <mergeCell ref="I3:J3"/>
    <mergeCell ref="G3:H4"/>
    <mergeCell ref="C3:C4"/>
    <mergeCell ref="K3:K4"/>
    <mergeCell ref="M3:N3"/>
    <mergeCell ref="Q3:R3"/>
    <mergeCell ref="M4:N4"/>
    <mergeCell ref="Q4:R4"/>
    <mergeCell ref="O3:P4"/>
  </mergeCells>
  <phoneticPr fontId="2" type="noConversion"/>
  <conditionalFormatting sqref="C18:J20">
    <cfRule type="cellIs" dxfId="120" priority="1" operator="equal">
      <formula>"A FAIRE"</formula>
    </cfRule>
    <cfRule type="containsBlanks" dxfId="119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J16" xr:uid="{6720809A-ADC9-4B4D-A786-4EAC10A1351D}">
      <formula1>C_PROFILES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7"/>
  <sheetViews>
    <sheetView showGridLines="0" view="pageBreakPreview" zoomScaleNormal="100" zoomScaleSheetLayoutView="100" workbookViewId="0">
      <selection activeCell="K17" sqref="K17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3" t="s">
        <v>35</v>
      </c>
      <c r="C2" s="79" t="str">
        <f>Projet_ref</f>
        <v>PETIT PROJET TEST</v>
      </c>
      <c r="D2" s="79"/>
      <c r="E2" s="79"/>
      <c r="F2" s="79"/>
      <c r="G2" s="79"/>
      <c r="H2" s="79"/>
      <c r="J2" s="15" t="s">
        <v>1</v>
      </c>
      <c r="K2" s="80" t="str">
        <f>Projet_Suivi_par</f>
        <v>Yannick</v>
      </c>
      <c r="L2" s="80"/>
    </row>
    <row r="3" spans="2:12" ht="18.75" x14ac:dyDescent="0.3">
      <c r="C3" s="80" t="str">
        <f>Projet_Adresse</f>
        <v>rue de mon adresse</v>
      </c>
      <c r="D3" s="80"/>
      <c r="E3" s="80"/>
      <c r="F3" s="80"/>
      <c r="G3" s="80"/>
      <c r="H3" s="80"/>
      <c r="J3" s="15" t="s">
        <v>2</v>
      </c>
      <c r="K3" s="81" t="str">
        <f>Projet_Conducteur</f>
        <v/>
      </c>
      <c r="L3" s="81"/>
    </row>
    <row r="4" spans="2:12" x14ac:dyDescent="0.25">
      <c r="C4" s="80" t="str">
        <f>Projet_CP</f>
        <v>12 345</v>
      </c>
      <c r="D4" s="80"/>
      <c r="E4" s="80"/>
      <c r="F4" s="80"/>
      <c r="G4" s="80"/>
      <c r="H4" s="80"/>
    </row>
    <row r="5" spans="2:12" ht="23.25" x14ac:dyDescent="0.35">
      <c r="B5" s="4" t="s">
        <v>34</v>
      </c>
    </row>
    <row r="6" spans="2:12" s="5" customFormat="1" ht="20.25" customHeight="1" x14ac:dyDescent="0.3">
      <c r="C6" s="5" t="s">
        <v>5</v>
      </c>
      <c r="D6" s="16" t="s">
        <v>37</v>
      </c>
      <c r="E6" s="5" t="s">
        <v>19</v>
      </c>
      <c r="F6" s="5" t="s">
        <v>20</v>
      </c>
      <c r="G6" s="5" t="s">
        <v>21</v>
      </c>
      <c r="H6" s="5" t="s">
        <v>22</v>
      </c>
      <c r="I6" s="5" t="s">
        <v>38</v>
      </c>
      <c r="J6" s="5" t="s">
        <v>6</v>
      </c>
      <c r="K6" s="5" t="s">
        <v>24</v>
      </c>
      <c r="L6" s="5" t="s">
        <v>33</v>
      </c>
    </row>
    <row r="7" spans="2:12" s="5" customFormat="1" ht="18.75" x14ac:dyDescent="0.3">
      <c r="C7" s="54"/>
      <c r="D7" s="55"/>
      <c r="E7" s="54"/>
      <c r="F7" s="54"/>
      <c r="G7" s="54"/>
      <c r="H7" s="54"/>
      <c r="I7" s="56"/>
      <c r="J7" s="57"/>
      <c r="K7" s="14"/>
    </row>
    <row r="8" spans="2:12" s="5" customFormat="1" ht="18.75" x14ac:dyDescent="0.3">
      <c r="C8" s="54"/>
      <c r="D8" s="55"/>
      <c r="E8" s="54"/>
      <c r="F8" s="54"/>
      <c r="G8" s="54"/>
      <c r="H8" s="54"/>
      <c r="I8" s="56"/>
      <c r="J8" s="57"/>
      <c r="K8" s="14"/>
    </row>
    <row r="9" spans="2:12" s="5" customFormat="1" ht="18.75" x14ac:dyDescent="0.3">
      <c r="D9" s="16"/>
      <c r="J9" s="13"/>
      <c r="K9" s="14"/>
    </row>
    <row r="10" spans="2:12" s="5" customFormat="1" ht="18.75" x14ac:dyDescent="0.3">
      <c r="C10" s="54"/>
      <c r="D10" s="55"/>
      <c r="E10" s="54"/>
      <c r="F10" s="54"/>
      <c r="G10" s="54"/>
      <c r="H10" s="54"/>
      <c r="I10" s="54"/>
      <c r="J10" s="59"/>
      <c r="K10" s="14"/>
    </row>
    <row r="11" spans="2:12" s="5" customFormat="1" ht="18.75" x14ac:dyDescent="0.3">
      <c r="D11" s="16"/>
      <c r="J11" s="13"/>
      <c r="K11" s="14"/>
    </row>
    <row r="13" spans="2:12" ht="23.25" x14ac:dyDescent="0.35">
      <c r="B13" s="4" t="s">
        <v>31</v>
      </c>
    </row>
    <row r="14" spans="2:12" s="5" customFormat="1" ht="20.25" customHeight="1" x14ac:dyDescent="0.3">
      <c r="B14" s="5" t="s">
        <v>7</v>
      </c>
      <c r="C14" s="5" t="s">
        <v>5</v>
      </c>
      <c r="D14" s="16" t="s">
        <v>37</v>
      </c>
      <c r="E14" s="5" t="s">
        <v>19</v>
      </c>
      <c r="F14" s="5" t="s">
        <v>20</v>
      </c>
      <c r="G14" s="5" t="s">
        <v>21</v>
      </c>
      <c r="H14" s="5" t="s">
        <v>22</v>
      </c>
      <c r="I14" s="5" t="s">
        <v>38</v>
      </c>
      <c r="J14" s="5" t="s">
        <v>6</v>
      </c>
      <c r="K14" s="5" t="s">
        <v>39</v>
      </c>
      <c r="L14" s="5" t="s">
        <v>33</v>
      </c>
    </row>
    <row r="15" spans="2:12" s="5" customFormat="1" ht="18.75" x14ac:dyDescent="0.3">
      <c r="B15" s="54" t="s">
        <v>84</v>
      </c>
      <c r="C15" s="54"/>
      <c r="D15" s="58"/>
      <c r="E15" s="54"/>
      <c r="F15" s="54"/>
      <c r="G15" s="54"/>
      <c r="H15" s="54"/>
      <c r="I15" s="54"/>
      <c r="J15" s="59"/>
      <c r="K15" s="14"/>
    </row>
    <row r="16" spans="2:12" s="5" customFormat="1" ht="18.75" x14ac:dyDescent="0.3">
      <c r="B16" s="54"/>
      <c r="C16" s="54"/>
      <c r="D16" s="58"/>
      <c r="E16" s="54"/>
      <c r="F16" s="54"/>
      <c r="G16" s="54"/>
      <c r="H16" s="54"/>
      <c r="I16" s="54"/>
      <c r="J16" s="59"/>
      <c r="K16" s="14"/>
    </row>
    <row r="17" spans="2:12" s="5" customFormat="1" ht="18.75" x14ac:dyDescent="0.3">
      <c r="B17" s="54"/>
      <c r="C17" s="54"/>
      <c r="D17" s="58"/>
      <c r="E17" s="54"/>
      <c r="F17" s="54"/>
      <c r="G17" s="54"/>
      <c r="H17" s="54"/>
      <c r="I17" s="56"/>
      <c r="J17" s="57"/>
      <c r="K17" s="14"/>
    </row>
    <row r="18" spans="2:12" s="5" customFormat="1" ht="18.75" x14ac:dyDescent="0.3">
      <c r="J18" s="13"/>
      <c r="K18" s="14"/>
    </row>
    <row r="19" spans="2:12" s="5" customFormat="1" ht="18.75" x14ac:dyDescent="0.3">
      <c r="J19" s="13"/>
      <c r="K19" s="14"/>
    </row>
    <row r="21" spans="2:12" ht="23.25" x14ac:dyDescent="0.35">
      <c r="B21" s="4" t="s">
        <v>32</v>
      </c>
    </row>
    <row r="22" spans="2:12" ht="20.25" customHeight="1" x14ac:dyDescent="0.3">
      <c r="B22" s="5" t="s">
        <v>7</v>
      </c>
      <c r="C22" s="5" t="s">
        <v>5</v>
      </c>
      <c r="D22" s="16" t="s">
        <v>37</v>
      </c>
      <c r="E22" s="5" t="s">
        <v>19</v>
      </c>
      <c r="F22" s="5" t="s">
        <v>20</v>
      </c>
      <c r="G22" s="5" t="s">
        <v>21</v>
      </c>
      <c r="H22" s="5" t="s">
        <v>22</v>
      </c>
      <c r="I22" s="5" t="s">
        <v>38</v>
      </c>
      <c r="J22" s="5" t="s">
        <v>6</v>
      </c>
      <c r="K22" s="5" t="s">
        <v>39</v>
      </c>
      <c r="L22" s="5" t="s">
        <v>33</v>
      </c>
    </row>
    <row r="23" spans="2:12" ht="18.75" x14ac:dyDescent="0.3">
      <c r="B23" s="5"/>
      <c r="C23" s="5"/>
      <c r="D23" s="5"/>
      <c r="E23" s="5"/>
      <c r="F23" s="5"/>
      <c r="G23" s="5"/>
      <c r="H23" s="5"/>
      <c r="I23" s="5"/>
      <c r="J23" s="13"/>
      <c r="K23" s="14"/>
      <c r="L23" s="5"/>
    </row>
    <row r="24" spans="2:12" ht="18.75" x14ac:dyDescent="0.3">
      <c r="B24" s="5"/>
      <c r="C24" s="5"/>
      <c r="D24" s="5"/>
      <c r="E24" s="5"/>
      <c r="F24" s="5"/>
      <c r="G24" s="5"/>
      <c r="H24" s="5"/>
      <c r="I24" s="5"/>
      <c r="J24" s="13"/>
      <c r="K24" s="14"/>
      <c r="L24" s="5"/>
    </row>
    <row r="25" spans="2:12" ht="18.75" x14ac:dyDescent="0.3">
      <c r="B25" s="5"/>
      <c r="C25" s="5"/>
      <c r="D25" s="5"/>
      <c r="E25" s="5"/>
      <c r="F25" s="5"/>
      <c r="G25" s="5"/>
      <c r="H25" s="5"/>
      <c r="I25" s="5"/>
      <c r="J25" s="13"/>
      <c r="K25" s="14"/>
      <c r="L25" s="5"/>
    </row>
    <row r="26" spans="2:12" ht="18.75" x14ac:dyDescent="0.3">
      <c r="B26" s="5"/>
      <c r="C26" s="5"/>
      <c r="D26" s="5"/>
      <c r="E26" s="5"/>
      <c r="F26" s="5"/>
      <c r="G26" s="5"/>
      <c r="H26" s="5"/>
      <c r="I26" s="5"/>
      <c r="J26" s="13"/>
      <c r="K26" s="14"/>
      <c r="L26" s="5"/>
    </row>
    <row r="27" spans="2:12" ht="18.75" x14ac:dyDescent="0.3">
      <c r="B27" s="5"/>
      <c r="C27" s="5"/>
      <c r="D27" s="5"/>
      <c r="G27" s="5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1" min="1" max="11" man="1"/>
    <brk id="19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40"/>
  <sheetViews>
    <sheetView showGridLines="0" view="pageBreakPreview" topLeftCell="A7" zoomScaleNormal="100" zoomScaleSheetLayoutView="100" workbookViewId="0">
      <selection activeCell="D26" sqref="D26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4</v>
      </c>
      <c r="E2" s="15" t="s">
        <v>1</v>
      </c>
      <c r="F2" s="6" t="str">
        <f>Projet_Suivi_par</f>
        <v>Yannick</v>
      </c>
    </row>
    <row r="3" spans="2:7" ht="18.75" x14ac:dyDescent="0.3">
      <c r="E3" s="15" t="s">
        <v>2</v>
      </c>
      <c r="F3" s="12" t="str">
        <f>Projet_Conducteur</f>
        <v/>
      </c>
    </row>
    <row r="4" spans="2:7" ht="33.75" x14ac:dyDescent="0.5">
      <c r="B4" s="79" t="str">
        <f>Projet_ref</f>
        <v>PETIT PROJET TEST</v>
      </c>
      <c r="C4" s="79"/>
      <c r="D4" s="79"/>
      <c r="E4" s="79"/>
      <c r="F4" s="79"/>
      <c r="G4" s="79"/>
    </row>
    <row r="5" spans="2:7" x14ac:dyDescent="0.25">
      <c r="B5" s="80" t="str">
        <f>Projet_Adresse</f>
        <v>rue de mon adresse</v>
      </c>
      <c r="C5" s="80"/>
      <c r="D5" s="80"/>
      <c r="E5" s="80"/>
      <c r="F5" s="80"/>
      <c r="G5" s="80"/>
    </row>
    <row r="6" spans="2:7" x14ac:dyDescent="0.25">
      <c r="B6" s="80" t="str">
        <f>Projet_CP</f>
        <v>12 345</v>
      </c>
      <c r="C6" s="80"/>
      <c r="D6" s="80"/>
      <c r="E6" s="80"/>
      <c r="F6" s="80"/>
      <c r="G6" s="80"/>
    </row>
    <row r="8" spans="2:7" ht="23.25" x14ac:dyDescent="0.35">
      <c r="B8" s="4" t="s">
        <v>8</v>
      </c>
    </row>
    <row r="9" spans="2:7" s="5" customFormat="1" ht="20.25" customHeight="1" x14ac:dyDescent="0.3">
      <c r="B9" s="5" t="s">
        <v>47</v>
      </c>
      <c r="C9" s="5" t="s">
        <v>5</v>
      </c>
      <c r="D9" s="5" t="s">
        <v>19</v>
      </c>
      <c r="E9" s="5" t="s">
        <v>6</v>
      </c>
      <c r="F9" s="5" t="s">
        <v>24</v>
      </c>
      <c r="G9" s="5" t="s">
        <v>33</v>
      </c>
    </row>
    <row r="10" spans="2:7" s="5" customFormat="1" ht="18.75" x14ac:dyDescent="0.3">
      <c r="C10" s="54"/>
      <c r="D10" s="54"/>
      <c r="E10" s="57"/>
      <c r="F10" s="14"/>
    </row>
    <row r="11" spans="2:7" s="5" customFormat="1" ht="18.75" x14ac:dyDescent="0.3">
      <c r="C11" s="54"/>
      <c r="D11" s="54"/>
      <c r="E11" s="57"/>
      <c r="F11" s="14"/>
    </row>
    <row r="12" spans="2:7" s="5" customFormat="1" ht="18.75" x14ac:dyDescent="0.3">
      <c r="C12" s="54"/>
      <c r="D12" s="54"/>
      <c r="E12" s="57"/>
      <c r="F12" s="14"/>
    </row>
    <row r="13" spans="2:7" s="5" customFormat="1" ht="18.75" x14ac:dyDescent="0.3">
      <c r="C13" s="54"/>
      <c r="D13" s="54"/>
      <c r="E13" s="57"/>
      <c r="F13" s="14"/>
    </row>
    <row r="14" spans="2:7" s="5" customFormat="1" ht="18.75" x14ac:dyDescent="0.3">
      <c r="C14" s="54"/>
      <c r="D14" s="54"/>
      <c r="E14" s="57"/>
      <c r="F14" s="14"/>
    </row>
    <row r="15" spans="2:7" s="5" customFormat="1" ht="18.75" x14ac:dyDescent="0.3">
      <c r="C15" s="54"/>
      <c r="D15" s="54"/>
      <c r="E15" s="57"/>
      <c r="F15" s="14"/>
    </row>
    <row r="16" spans="2:7" s="5" customFormat="1" ht="18.75" x14ac:dyDescent="0.3">
      <c r="C16" s="54"/>
      <c r="D16" s="54"/>
      <c r="E16" s="57"/>
      <c r="F16" s="14"/>
    </row>
    <row r="17" spans="2:7" s="5" customFormat="1" ht="18.75" x14ac:dyDescent="0.3">
      <c r="E17" s="13"/>
      <c r="F17" s="14"/>
    </row>
    <row r="18" spans="2:7" s="5" customFormat="1" ht="18.75" x14ac:dyDescent="0.3">
      <c r="E18" s="13"/>
      <c r="F18" s="14"/>
    </row>
    <row r="19" spans="2:7" s="5" customFormat="1" ht="18.75" x14ac:dyDescent="0.3">
      <c r="B19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9" s="13"/>
      <c r="F19" s="14"/>
    </row>
    <row r="21" spans="2:7" ht="23.25" x14ac:dyDescent="0.35">
      <c r="B21" s="4" t="s">
        <v>31</v>
      </c>
    </row>
    <row r="22" spans="2:7" s="5" customFormat="1" ht="20.25" customHeight="1" x14ac:dyDescent="0.3">
      <c r="B22" s="5" t="s">
        <v>7</v>
      </c>
      <c r="C22" s="5" t="s">
        <v>5</v>
      </c>
      <c r="D22" s="5" t="s">
        <v>19</v>
      </c>
      <c r="E22" s="5" t="s">
        <v>6</v>
      </c>
      <c r="F22" s="5" t="s">
        <v>24</v>
      </c>
      <c r="G22" s="5" t="s">
        <v>33</v>
      </c>
    </row>
    <row r="23" spans="2:7" s="5" customFormat="1" ht="18.75" x14ac:dyDescent="0.3">
      <c r="B23" s="5" t="s">
        <v>86</v>
      </c>
      <c r="E23" s="13"/>
      <c r="F23" s="14"/>
    </row>
    <row r="24" spans="2:7" s="5" customFormat="1" ht="18.75" x14ac:dyDescent="0.3">
      <c r="B24" s="54"/>
      <c r="C24" s="54"/>
      <c r="D24" s="54"/>
      <c r="E24" s="57"/>
      <c r="F24" s="14"/>
    </row>
    <row r="25" spans="2:7" s="5" customFormat="1" ht="18.75" x14ac:dyDescent="0.3">
      <c r="B25" s="54"/>
      <c r="C25" s="54"/>
      <c r="D25" s="54"/>
      <c r="E25" s="57"/>
      <c r="F25" s="14"/>
    </row>
    <row r="26" spans="2:7" s="5" customFormat="1" ht="18.75" x14ac:dyDescent="0.3">
      <c r="E26" s="13"/>
      <c r="F26" s="14"/>
    </row>
    <row r="27" spans="2:7" s="5" customFormat="1" ht="18.75" x14ac:dyDescent="0.3">
      <c r="E27" s="13"/>
      <c r="F27" s="14"/>
    </row>
    <row r="29" spans="2:7" ht="23.25" x14ac:dyDescent="0.35">
      <c r="B29" s="4" t="s">
        <v>32</v>
      </c>
    </row>
    <row r="30" spans="2:7" ht="20.25" customHeight="1" x14ac:dyDescent="0.3">
      <c r="B30" s="5" t="s">
        <v>7</v>
      </c>
      <c r="C30" s="5" t="s">
        <v>5</v>
      </c>
      <c r="D30" s="5" t="s">
        <v>19</v>
      </c>
      <c r="E30" s="5" t="s">
        <v>6</v>
      </c>
      <c r="F30" s="5" t="s">
        <v>24</v>
      </c>
      <c r="G30" s="5" t="s">
        <v>33</v>
      </c>
    </row>
    <row r="31" spans="2:7" ht="18.75" x14ac:dyDescent="0.3">
      <c r="B31" s="54"/>
      <c r="C31" s="54"/>
      <c r="D31" s="54"/>
      <c r="E31" s="57"/>
      <c r="F31" s="14"/>
      <c r="G31" s="5"/>
    </row>
    <row r="32" spans="2:7" ht="18.75" x14ac:dyDescent="0.3">
      <c r="B32" s="54"/>
      <c r="C32" s="54"/>
      <c r="D32" s="54"/>
      <c r="E32" s="57"/>
      <c r="F32" s="14"/>
      <c r="G32" s="5"/>
    </row>
    <row r="33" spans="2:7" ht="18.75" x14ac:dyDescent="0.3">
      <c r="B33" s="54"/>
      <c r="C33" s="54"/>
      <c r="D33" s="54"/>
      <c r="E33" s="57"/>
      <c r="F33" s="14"/>
      <c r="G33" s="5"/>
    </row>
    <row r="34" spans="2:7" ht="18.75" x14ac:dyDescent="0.3">
      <c r="B34" s="54"/>
      <c r="C34" s="54"/>
      <c r="D34" s="54"/>
      <c r="E34" s="57"/>
      <c r="F34" s="14"/>
      <c r="G34" s="5"/>
    </row>
    <row r="35" spans="2:7" ht="18.75" x14ac:dyDescent="0.3">
      <c r="B35" s="54"/>
      <c r="C35" s="54"/>
      <c r="D35" s="54"/>
      <c r="E35" s="57"/>
      <c r="F35" s="14"/>
      <c r="G35" s="5"/>
    </row>
    <row r="36" spans="2:7" ht="18.75" x14ac:dyDescent="0.3">
      <c r="B36" s="54"/>
      <c r="C36" s="54"/>
      <c r="D36" s="54"/>
      <c r="E36" s="57"/>
      <c r="F36" s="14"/>
      <c r="G36" s="5"/>
    </row>
    <row r="37" spans="2:7" ht="18.75" x14ac:dyDescent="0.3">
      <c r="B37" s="5"/>
      <c r="C37" s="5"/>
      <c r="D37" s="5"/>
      <c r="E37" s="13"/>
      <c r="F37" s="14"/>
      <c r="G37" s="5"/>
    </row>
    <row r="38" spans="2:7" ht="18.75" x14ac:dyDescent="0.3">
      <c r="B38" s="5"/>
      <c r="C38" s="5"/>
      <c r="D38" s="5"/>
      <c r="E38" s="13"/>
      <c r="F38" s="14"/>
      <c r="G38" s="5"/>
    </row>
    <row r="39" spans="2:7" ht="18.75" x14ac:dyDescent="0.3">
      <c r="B39" s="5"/>
      <c r="C39" s="5"/>
      <c r="D39" s="5"/>
      <c r="E39" s="13"/>
      <c r="F39" s="14"/>
      <c r="G39" s="5"/>
    </row>
    <row r="40" spans="2:7" ht="18.75" x14ac:dyDescent="0.3">
      <c r="B40" s="5"/>
      <c r="C40" s="5"/>
      <c r="D40" s="5"/>
      <c r="G40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9" min="1" max="6" man="1"/>
    <brk id="27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view="pageBreakPreview" topLeftCell="A7" zoomScaleNormal="100" zoomScaleSheetLayoutView="100" workbookViewId="0">
      <selection activeCell="J18" sqref="J18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36</v>
      </c>
      <c r="E2" s="15" t="s">
        <v>1</v>
      </c>
      <c r="F2" s="6" t="str">
        <f>Projet_Suivi_par</f>
        <v>Yannick</v>
      </c>
    </row>
    <row r="3" spans="2:7" ht="18.75" x14ac:dyDescent="0.3">
      <c r="E3" s="15" t="s">
        <v>2</v>
      </c>
      <c r="F3" s="12" t="str">
        <f>Projet_Conducteur</f>
        <v/>
      </c>
    </row>
    <row r="4" spans="2:7" ht="33.75" x14ac:dyDescent="0.5">
      <c r="B4" s="79" t="str">
        <f>Projet_ref</f>
        <v>PETIT PROJET TEST</v>
      </c>
      <c r="C4" s="79"/>
      <c r="D4" s="79"/>
      <c r="E4" s="79"/>
      <c r="F4" s="79"/>
      <c r="G4" s="79"/>
    </row>
    <row r="5" spans="2:7" x14ac:dyDescent="0.25">
      <c r="B5" s="80" t="str">
        <f>Projet_Adresse</f>
        <v>rue de mon adresse</v>
      </c>
      <c r="C5" s="80"/>
      <c r="D5" s="80"/>
      <c r="E5" s="80"/>
      <c r="F5" s="80"/>
      <c r="G5" s="80"/>
    </row>
    <row r="6" spans="2:7" x14ac:dyDescent="0.25">
      <c r="B6" s="80" t="str">
        <f>Projet_CP</f>
        <v>12 345</v>
      </c>
      <c r="C6" s="80"/>
      <c r="D6" s="80"/>
      <c r="E6" s="80"/>
      <c r="F6" s="80"/>
      <c r="G6" s="80"/>
    </row>
    <row r="8" spans="2:7" ht="23.25" x14ac:dyDescent="0.35">
      <c r="B8" s="4" t="s">
        <v>34</v>
      </c>
    </row>
    <row r="9" spans="2:7" s="5" customFormat="1" ht="20.25" customHeight="1" x14ac:dyDescent="0.3">
      <c r="C9" s="5" t="s">
        <v>5</v>
      </c>
      <c r="D9" s="5" t="s">
        <v>19</v>
      </c>
      <c r="E9" s="5" t="s">
        <v>6</v>
      </c>
      <c r="F9" s="5" t="s">
        <v>24</v>
      </c>
      <c r="G9" s="5" t="s">
        <v>33</v>
      </c>
    </row>
    <row r="10" spans="2:7" s="5" customFormat="1" ht="18.75" x14ac:dyDescent="0.3">
      <c r="E10" s="13"/>
      <c r="F10" s="14"/>
    </row>
    <row r="11" spans="2:7" s="5" customFormat="1" ht="18.75" x14ac:dyDescent="0.3">
      <c r="C11" s="54"/>
      <c r="D11" s="54"/>
      <c r="E11" s="59"/>
      <c r="F11" s="14"/>
    </row>
    <row r="12" spans="2:7" s="5" customFormat="1" ht="18.75" x14ac:dyDescent="0.3">
      <c r="E12" s="13"/>
      <c r="F12" s="14"/>
    </row>
    <row r="13" spans="2:7" s="5" customFormat="1" ht="18.75" x14ac:dyDescent="0.3">
      <c r="E13" s="13"/>
      <c r="F13" s="14"/>
    </row>
    <row r="15" spans="2:7" ht="23.25" x14ac:dyDescent="0.35">
      <c r="B15" s="4" t="s">
        <v>31</v>
      </c>
    </row>
    <row r="16" spans="2:7" s="5" customFormat="1" ht="20.25" customHeight="1" x14ac:dyDescent="0.3">
      <c r="B16" s="5" t="s">
        <v>7</v>
      </c>
      <c r="C16" s="5" t="s">
        <v>5</v>
      </c>
      <c r="D16" s="5" t="s">
        <v>19</v>
      </c>
      <c r="E16" s="5" t="s">
        <v>6</v>
      </c>
      <c r="F16" s="5" t="s">
        <v>24</v>
      </c>
      <c r="G16" s="5" t="s">
        <v>33</v>
      </c>
    </row>
    <row r="17" spans="2:7" s="5" customFormat="1" ht="18.75" x14ac:dyDescent="0.3">
      <c r="B17" s="54" t="s">
        <v>85</v>
      </c>
      <c r="C17" s="54"/>
      <c r="D17" s="54"/>
      <c r="E17" s="59"/>
      <c r="F17" s="14"/>
    </row>
    <row r="18" spans="2:7" s="5" customFormat="1" ht="18.75" x14ac:dyDescent="0.3">
      <c r="E18" s="13"/>
      <c r="F18" s="14"/>
    </row>
    <row r="19" spans="2:7" s="5" customFormat="1" ht="18.75" x14ac:dyDescent="0.3">
      <c r="E19" s="13"/>
      <c r="F19" s="14"/>
    </row>
    <row r="20" spans="2:7" s="5" customFormat="1" ht="18.75" x14ac:dyDescent="0.3">
      <c r="E20" s="13"/>
      <c r="F20" s="14"/>
    </row>
    <row r="22" spans="2:7" ht="23.25" x14ac:dyDescent="0.35">
      <c r="B22" s="4" t="s">
        <v>32</v>
      </c>
    </row>
    <row r="23" spans="2:7" ht="20.25" customHeight="1" x14ac:dyDescent="0.3">
      <c r="B23" s="5" t="s">
        <v>7</v>
      </c>
      <c r="C23" s="5" t="s">
        <v>5</v>
      </c>
      <c r="D23" s="5" t="s">
        <v>19</v>
      </c>
      <c r="E23" s="5" t="s">
        <v>6</v>
      </c>
      <c r="F23" s="5" t="s">
        <v>24</v>
      </c>
      <c r="G23" s="5" t="s">
        <v>33</v>
      </c>
    </row>
    <row r="24" spans="2:7" ht="18.75" x14ac:dyDescent="0.3">
      <c r="B24" s="54"/>
      <c r="C24" s="54"/>
      <c r="D24" s="54"/>
      <c r="E24" s="59"/>
      <c r="F24" s="14"/>
      <c r="G24" s="5"/>
    </row>
    <row r="25" spans="2:7" ht="18.75" x14ac:dyDescent="0.3">
      <c r="B25" s="5"/>
      <c r="C25" s="5"/>
      <c r="D25" s="5"/>
      <c r="E25" s="13"/>
      <c r="F25" s="14"/>
      <c r="G25" s="5"/>
    </row>
    <row r="26" spans="2:7" ht="18.75" x14ac:dyDescent="0.3">
      <c r="B26" s="5"/>
      <c r="C26" s="5"/>
      <c r="D26" s="5"/>
      <c r="E26" s="13"/>
      <c r="F26" s="14"/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J16" sqref="J16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46</v>
      </c>
      <c r="C3" t="s">
        <v>5</v>
      </c>
      <c r="D3" s="6" t="s">
        <v>37</v>
      </c>
      <c r="E3" s="6" t="s">
        <v>6</v>
      </c>
    </row>
    <row r="4" spans="2:5" x14ac:dyDescent="0.25">
      <c r="B4" s="60"/>
      <c r="C4" s="60"/>
      <c r="D4" s="61"/>
      <c r="E4" s="61"/>
    </row>
    <row r="5" spans="2:5" x14ac:dyDescent="0.25">
      <c r="B5" s="60"/>
      <c r="C5" s="60"/>
      <c r="D5" s="61"/>
      <c r="E5" s="61"/>
    </row>
    <row r="6" spans="2:5" x14ac:dyDescent="0.25">
      <c r="B6" s="60"/>
      <c r="C6" s="60"/>
      <c r="D6" s="61"/>
      <c r="E6" s="61"/>
    </row>
    <row r="7" spans="2:5" x14ac:dyDescent="0.25">
      <c r="B7" s="60"/>
      <c r="C7" s="60"/>
      <c r="D7" s="61"/>
      <c r="E7" s="61"/>
    </row>
    <row r="8" spans="2:5" x14ac:dyDescent="0.25">
      <c r="B8" s="60"/>
      <c r="C8" s="60"/>
      <c r="D8" s="61"/>
      <c r="E8" s="61"/>
    </row>
    <row r="9" spans="2:5" x14ac:dyDescent="0.25">
      <c r="B9" s="60"/>
      <c r="C9" s="60"/>
      <c r="D9" s="61"/>
      <c r="E9" s="61"/>
    </row>
    <row r="10" spans="2:5" x14ac:dyDescent="0.25">
      <c r="B10" s="60"/>
      <c r="C10" s="60"/>
      <c r="D10" s="61"/>
      <c r="E10" s="61"/>
    </row>
    <row r="11" spans="2:5" x14ac:dyDescent="0.25">
      <c r="B11" s="60"/>
      <c r="C11" s="60"/>
      <c r="D11" s="61"/>
      <c r="E11" s="61"/>
    </row>
    <row r="12" spans="2:5" x14ac:dyDescent="0.25">
      <c r="B12" s="60"/>
      <c r="C12" s="60"/>
      <c r="D12" s="61"/>
      <c r="E12" s="61"/>
    </row>
    <row r="13" spans="2:5" x14ac:dyDescent="0.25">
      <c r="B13" s="60"/>
      <c r="C13" s="60"/>
      <c r="D13" s="61"/>
      <c r="E13" s="61"/>
    </row>
    <row r="14" spans="2:5" x14ac:dyDescent="0.25">
      <c r="B14" s="60"/>
      <c r="C14" s="60"/>
      <c r="D14" s="61"/>
      <c r="E14" s="6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F11" sqref="B11:F11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3"/>
    </row>
    <row r="4" spans="2:9" ht="15.75" thickBot="1" x14ac:dyDescent="0.3"/>
    <row r="5" spans="2:9" ht="34.5" thickBot="1" x14ac:dyDescent="0.55000000000000004">
      <c r="B5" s="82" t="str">
        <f>Projet_ref</f>
        <v>PETIT PROJET TEST</v>
      </c>
      <c r="C5" s="83"/>
    </row>
    <row r="6" spans="2:9" ht="15.75" thickBot="1" x14ac:dyDescent="0.3">
      <c r="B6" s="84" t="str">
        <f>Projet_Adresse</f>
        <v>rue de mon adresse</v>
      </c>
      <c r="C6" s="85"/>
      <c r="E6" s="2" t="s">
        <v>1</v>
      </c>
      <c r="F6" s="86" t="str">
        <f>Projet_Suivi_par</f>
        <v>Yannick</v>
      </c>
      <c r="G6" s="87"/>
    </row>
    <row r="7" spans="2:9" ht="19.5" thickBot="1" x14ac:dyDescent="0.35">
      <c r="B7" s="88" t="str">
        <f>Projet_CP</f>
        <v>12 345</v>
      </c>
      <c r="C7" s="89"/>
      <c r="E7" s="2" t="s">
        <v>2</v>
      </c>
      <c r="F7" s="90" t="str">
        <f>Projet_Conducteur</f>
        <v/>
      </c>
      <c r="G7" s="91"/>
    </row>
    <row r="9" spans="2:9" ht="23.25" x14ac:dyDescent="0.35">
      <c r="B9" s="4" t="s">
        <v>25</v>
      </c>
    </row>
    <row r="10" spans="2:9" ht="18.75" x14ac:dyDescent="0.3">
      <c r="B10" s="5" t="s">
        <v>7</v>
      </c>
      <c r="C10" s="5" t="s">
        <v>19</v>
      </c>
      <c r="D10" s="5" t="s">
        <v>21</v>
      </c>
      <c r="E10" s="5" t="s">
        <v>40</v>
      </c>
      <c r="F10" s="40" t="s">
        <v>26</v>
      </c>
      <c r="G10" s="5"/>
      <c r="H10" s="5"/>
      <c r="I10" s="5"/>
    </row>
    <row r="11" spans="2:9" ht="18.75" x14ac:dyDescent="0.3">
      <c r="B11" s="54"/>
      <c r="C11" s="54"/>
      <c r="D11" s="54"/>
      <c r="E11" s="54"/>
      <c r="F11" s="56"/>
      <c r="G11" s="5"/>
      <c r="H11" s="5"/>
      <c r="I11" s="5"/>
    </row>
    <row r="12" spans="2:9" ht="18.75" x14ac:dyDescent="0.3">
      <c r="B12" s="5"/>
      <c r="C12" s="5"/>
      <c r="D12" s="5"/>
      <c r="E12" s="5"/>
      <c r="F12" s="40"/>
      <c r="G12" s="5"/>
      <c r="H12" s="5"/>
      <c r="I12" s="5"/>
    </row>
    <row r="13" spans="2:9" ht="18.75" x14ac:dyDescent="0.3">
      <c r="B13" s="5"/>
      <c r="C13" s="5"/>
      <c r="D13" s="5"/>
      <c r="E13" s="5"/>
      <c r="F13" s="40"/>
    </row>
    <row r="14" spans="2:9" ht="18.75" x14ac:dyDescent="0.3">
      <c r="B14" s="5"/>
      <c r="C14" s="5"/>
      <c r="D14" s="5"/>
      <c r="E14" s="5"/>
      <c r="F14" s="40"/>
    </row>
    <row r="15" spans="2:9" ht="18.75" x14ac:dyDescent="0.3">
      <c r="B15" s="5"/>
      <c r="C15" s="5"/>
      <c r="D15" s="5"/>
      <c r="E15" s="5"/>
      <c r="F15" s="40"/>
    </row>
    <row r="16" spans="2:9" ht="18.75" x14ac:dyDescent="0.3">
      <c r="B16" s="5"/>
      <c r="C16" s="5"/>
      <c r="D16" s="5"/>
      <c r="E16" s="5"/>
    </row>
    <row r="17" spans="2:5" ht="18.75" x14ac:dyDescent="0.3">
      <c r="B17" s="5"/>
      <c r="C17" s="5"/>
      <c r="D17" s="5"/>
      <c r="E17" s="5"/>
    </row>
    <row r="18" spans="2:5" ht="18.75" x14ac:dyDescent="0.3">
      <c r="B18" s="5"/>
      <c r="C18" s="5"/>
      <c r="D18" s="5"/>
      <c r="E18" s="5"/>
    </row>
    <row r="19" spans="2:5" ht="18.75" x14ac:dyDescent="0.3">
      <c r="B19" s="5"/>
      <c r="C19" s="5"/>
      <c r="D19" s="5"/>
      <c r="E19" s="5"/>
    </row>
    <row r="20" spans="2:5" ht="18.75" x14ac:dyDescent="0.3">
      <c r="B20" s="5"/>
      <c r="C20" s="5"/>
      <c r="D20" s="5"/>
      <c r="E20" s="5"/>
    </row>
    <row r="21" spans="2:5" ht="18.75" x14ac:dyDescent="0.3">
      <c r="B21" s="5"/>
      <c r="C21" s="5"/>
      <c r="D21" s="5"/>
      <c r="E21" s="5"/>
    </row>
    <row r="22" spans="2:5" ht="18.75" x14ac:dyDescent="0.3">
      <c r="B22" s="5"/>
      <c r="C22" s="5"/>
      <c r="D22" s="5"/>
      <c r="E22" s="5"/>
    </row>
    <row r="23" spans="2:5" ht="18.75" x14ac:dyDescent="0.3">
      <c r="B23" s="5"/>
      <c r="C23" s="5"/>
      <c r="D23" s="5"/>
      <c r="E23" s="5"/>
    </row>
    <row r="24" spans="2:5" ht="18.75" x14ac:dyDescent="0.3">
      <c r="B24" s="5"/>
      <c r="C24" s="5"/>
      <c r="D24" s="5"/>
      <c r="E24" s="5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5" t="s">
        <v>29</v>
      </c>
      <c r="D4" s="5" t="s">
        <v>23</v>
      </c>
      <c r="E4" s="5"/>
      <c r="F4" s="5"/>
    </row>
    <row r="5" spans="3:6" ht="18.75" x14ac:dyDescent="0.3">
      <c r="C5" s="5"/>
      <c r="D5" s="5" t="str">
        <f>IF(T_Question[[#This Row],[Questions]]="","","non")</f>
        <v/>
      </c>
      <c r="E5" s="5"/>
      <c r="F5" s="5"/>
    </row>
    <row r="6" spans="3:6" ht="18.75" x14ac:dyDescent="0.3">
      <c r="C6" s="5"/>
      <c r="D6" s="5" t="str">
        <f>IF(T_Question[[#This Row],[Questions]]="","","non")</f>
        <v/>
      </c>
      <c r="E6" s="5"/>
      <c r="F6" s="5"/>
    </row>
    <row r="13" spans="3:6" ht="18.75" x14ac:dyDescent="0.3">
      <c r="C13" s="5" t="s">
        <v>30</v>
      </c>
      <c r="D13" s="5" t="s">
        <v>23</v>
      </c>
      <c r="E13" s="5"/>
      <c r="F13" s="5"/>
    </row>
    <row r="14" spans="3:6" ht="18.75" x14ac:dyDescent="0.3">
      <c r="C14" s="5"/>
      <c r="D14" s="5" t="str">
        <f>IF(Tableau_Pense_bete[[#This Row],[Penses Bête]]="","","non")</f>
        <v/>
      </c>
      <c r="E14" s="5"/>
      <c r="F14" s="5"/>
    </row>
    <row r="15" spans="3:6" ht="18.75" x14ac:dyDescent="0.3">
      <c r="C15" s="5"/>
      <c r="D15" s="5" t="str">
        <f>IF(Tableau_Pense_bete[[#This Row],[Penses Bête]]="","","non")</f>
        <v/>
      </c>
      <c r="E15" s="5"/>
      <c r="F15" s="5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view="pageBreakPreview" zoomScale="70" zoomScaleNormal="100" zoomScaleSheetLayoutView="70" workbookViewId="0">
      <selection activeCell="H25" sqref="H25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2" t="str">
        <f>Projet_ref</f>
        <v>PETIT PROJET TEST</v>
      </c>
      <c r="C3" s="95" t="s">
        <v>9</v>
      </c>
      <c r="D3" s="96"/>
    </row>
    <row r="4" spans="2:4" ht="12.75" customHeight="1" thickBot="1" x14ac:dyDescent="0.3">
      <c r="B4" s="93"/>
      <c r="C4" s="9" t="s">
        <v>1</v>
      </c>
      <c r="D4" s="7" t="str">
        <f>Projet_Suivi_par</f>
        <v>Yannick</v>
      </c>
    </row>
    <row r="5" spans="2:4" ht="15.75" customHeight="1" thickBot="1" x14ac:dyDescent="0.35">
      <c r="B5" s="94"/>
      <c r="C5" s="9" t="s">
        <v>2</v>
      </c>
      <c r="D5" s="8" t="str">
        <f>Projet_Conducteur</f>
        <v/>
      </c>
    </row>
    <row r="6" spans="2:4" ht="6" customHeight="1" thickBot="1" x14ac:dyDescent="0.3"/>
    <row r="7" spans="2:4" ht="132" customHeight="1" thickBot="1" x14ac:dyDescent="0.3">
      <c r="B7" s="92" t="str">
        <f>Projet_ref</f>
        <v>PETIT PROJET TEST</v>
      </c>
      <c r="C7" s="95" t="s">
        <v>9</v>
      </c>
      <c r="D7" s="96"/>
    </row>
    <row r="8" spans="2:4" ht="12.75" customHeight="1" thickBot="1" x14ac:dyDescent="0.3">
      <c r="B8" s="93"/>
      <c r="C8" s="9" t="s">
        <v>1</v>
      </c>
      <c r="D8" s="7" t="str">
        <f>Projet_Suivi_par</f>
        <v>Yannick</v>
      </c>
    </row>
    <row r="9" spans="2:4" ht="15.75" customHeight="1" thickBot="1" x14ac:dyDescent="0.35">
      <c r="B9" s="94"/>
      <c r="C9" s="9" t="s">
        <v>2</v>
      </c>
      <c r="D9" s="8" t="str">
        <f>Projet_Conducteur</f>
        <v/>
      </c>
    </row>
    <row r="10" spans="2:4" ht="6" customHeight="1" thickBot="1" x14ac:dyDescent="0.3"/>
    <row r="11" spans="2:4" ht="132" customHeight="1" thickBot="1" x14ac:dyDescent="0.3">
      <c r="B11" s="92" t="str">
        <f>Projet_ref</f>
        <v>PETIT PROJET TEST</v>
      </c>
      <c r="C11" s="95" t="s">
        <v>9</v>
      </c>
      <c r="D11" s="96"/>
    </row>
    <row r="12" spans="2:4" ht="12.75" customHeight="1" thickBot="1" x14ac:dyDescent="0.3">
      <c r="B12" s="93"/>
      <c r="C12" s="9" t="s">
        <v>1</v>
      </c>
      <c r="D12" s="7" t="str">
        <f>Projet_Suivi_par</f>
        <v>Yannick</v>
      </c>
    </row>
    <row r="13" spans="2:4" ht="15.75" customHeight="1" thickBot="1" x14ac:dyDescent="0.35">
      <c r="B13" s="94"/>
      <c r="C13" s="9" t="s">
        <v>2</v>
      </c>
      <c r="D13" s="8" t="str">
        <f>Projet_Conducteur</f>
        <v/>
      </c>
    </row>
    <row r="14" spans="2:4" ht="6" customHeight="1" thickBot="1" x14ac:dyDescent="0.3"/>
    <row r="15" spans="2:4" ht="132" customHeight="1" thickBot="1" x14ac:dyDescent="0.3">
      <c r="B15" s="92" t="str">
        <f>Projet_ref</f>
        <v>PETIT PROJET TEST</v>
      </c>
      <c r="C15" s="95" t="s">
        <v>9</v>
      </c>
      <c r="D15" s="96"/>
    </row>
    <row r="16" spans="2:4" ht="12.75" customHeight="1" thickBot="1" x14ac:dyDescent="0.3">
      <c r="B16" s="93"/>
      <c r="C16" s="9" t="s">
        <v>1</v>
      </c>
      <c r="D16" s="7" t="str">
        <f>Projet_Suivi_par</f>
        <v>Yannick</v>
      </c>
    </row>
    <row r="17" spans="2:4" ht="15.75" customHeight="1" thickBot="1" x14ac:dyDescent="0.35">
      <c r="B17" s="94"/>
      <c r="C17" s="9" t="s">
        <v>2</v>
      </c>
      <c r="D17" s="8" t="str">
        <f>Projet_Conducteur</f>
        <v/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96</vt:i4>
      </vt:variant>
    </vt:vector>
  </HeadingPairs>
  <TitlesOfParts>
    <vt:vector size="106" baseType="lpstr">
      <vt:lpstr>PARAMETRES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C_COMPTES</vt:lpstr>
      <vt:lpstr>C_PROFILES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SEMADATA_A_TRAITER_A_TRAITER_SEMA_C</vt:lpstr>
      <vt:lpstr>SEMADATA_A_TRAITER_A_TRAITER_SEMA_D</vt:lpstr>
      <vt:lpstr>SEMADATA_ELEMENTS_FERRURES_ELEMENTS_FERRURES_C</vt:lpstr>
      <vt:lpstr>SEMADATA_ETAPES_CHANTIER_LISTE_SEMA_C</vt:lpstr>
      <vt:lpstr>SEMADATA_PREPA_T_PREPA_Goblal_m2_C</vt:lpstr>
      <vt:lpstr>SEMADATA_PREPA_T_PREPA_Goblal_m2_D</vt:lpstr>
      <vt:lpstr>SEMADATA_PREPA_T_PREPA_Goblal_u_C</vt:lpstr>
      <vt:lpstr>SEMADATA_PREPA_T_PREPA_Goblal_u_D</vt:lpstr>
      <vt:lpstr>SEMADATA_PREPA_T_PREPA_Paquet_Atelier_m2_C</vt:lpstr>
      <vt:lpstr>SEMADATA_PREPA_T_PREPA_Paquet_Atelier_m2_D</vt:lpstr>
      <vt:lpstr>SEMADATA_PREPA_T_PREPA_Paquet_Atelier_u_C</vt:lpstr>
      <vt:lpstr>SEMADATA_PREPA_T_PREPA_Paquet_Atelier_u_D</vt:lpstr>
      <vt:lpstr>SEMADATA_QUINCAILLERIE_T_QUINCAILLERIE_Magasinier_u_C</vt:lpstr>
      <vt:lpstr>SEMADATA_QUINCAILLERIE_T_QUINCAILLERIE_Magasinier_u_D</vt:lpstr>
      <vt:lpstr>SEMADATA_QUINCAILLERIE_T_QUINCAILLERIE_Paquet_Atelier_u_C</vt:lpstr>
      <vt:lpstr>SEMADATA_QUINCAILLERIE_T_QUINCAILLERIE_Paquet_Atelier_u_D</vt:lpstr>
      <vt:lpstr>SEMADATA_QUINCAILLERIE_T_QUINCAILLERIE_Paquet_Chantier_u_C</vt:lpstr>
      <vt:lpstr>SEMADATA_QUINCAILLERIE_T_QUINCAILLERIE_Paquet_Chantier_u_D</vt:lpstr>
      <vt:lpstr>SEMADATA_ZINGUERIE_T_ZINGUERIE_Goblal_ml_C</vt:lpstr>
      <vt:lpstr>SEMADATA_ZINGUERIE_T_ZINGUERIE_Goblal_ml_D</vt:lpstr>
      <vt:lpstr>SEMADATA_ZINGUERIE_T_ZINGUERIE_Paquet_Chantier_ml_C</vt:lpstr>
      <vt:lpstr>SEMADATA_ZINGUERIE_T_ZINGUERIE_Paquet_Chantier_ml_D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2024-06-06T20:17:35Z</dcterms:modified>
</cp:coreProperties>
</file>