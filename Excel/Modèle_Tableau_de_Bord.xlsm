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"/>
    </mc:Choice>
  </mc:AlternateContent>
  <xr:revisionPtr revIDLastSave="0" documentId="13_ncr:1_{DC6A17B3-CFD3-4504-A297-28FAB93C19F3}" xr6:coauthVersionLast="47" xr6:coauthVersionMax="47" xr10:uidLastSave="{00000000-0000-0000-0000-000000000000}"/>
  <bookViews>
    <workbookView xWindow="28680" yWindow="-120" windowWidth="29040" windowHeight="15720" tabRatio="683" activeTab="1" xr2:uid="{00000000-000D-0000-FFFF-FFFF00000000}"/>
  </bookViews>
  <sheets>
    <sheet name="PARAMETRES" sheetId="11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T_COMPTES[COMPTES]</definedName>
    <definedName name="C_PROFILES">T_PROFILES[PROFILES]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T_PREPA_Goblal_m2" localSheetId="2">PREPA!$C$9</definedName>
    <definedName name="T_PREPA_Goblal_ml" localSheetId="2">PREPA!$C$8</definedName>
    <definedName name="T_PREPA_Goblal_u" localSheetId="2">PREPA!$C$7</definedName>
    <definedName name="T_PREPA_Paquet_Atelier_m2" localSheetId="2">PREPA!$B$16</definedName>
    <definedName name="T_PREPA_Paquet_Atelier_ml" localSheetId="2">PREPA!$B$15</definedName>
    <definedName name="T_PREPA_Paquet_Atelier_u" localSheetId="2">PREPA!$B$14</definedName>
    <definedName name="T_PREPA_Paquet_Chantier_m2" localSheetId="2">PREPA!$B$23</definedName>
    <definedName name="T_PREPA_Paquet_Chantier_ml" localSheetId="2">PREPA!$B$22</definedName>
    <definedName name="T_PREPA_Paquet_Chantier_u" localSheetId="2">PREPA!$B$21</definedName>
    <definedName name="T_QUINCAILLERIE_Magasinier_m2">QUINCAILLERIE!$C$12</definedName>
    <definedName name="T_QUINCAILLERIE_Magasinier_ml">QUINCAILLERIE!$C$11</definedName>
    <definedName name="T_QUINCAILLERIE_Magasinier_u">QUINCAILLERIE!$C$10</definedName>
    <definedName name="T_QUINCAILLERIE_Paquet_Atelier_m2">QUINCAILLERIE!$B$19</definedName>
    <definedName name="T_QUINCAILLERIE_Paquet_Atelier_ml">QUINCAILLERIE!$B$18</definedName>
    <definedName name="T_QUINCAILLERIE_Paquet_Atelier_u">QUINCAILLERIE!$B$17</definedName>
    <definedName name="T_QUINCAILLERIE_Paquet_Chantier_m2">QUINCAILLERIE!$B$26</definedName>
    <definedName name="T_QUINCAILLERIE_Paquet_Chantier_ml">QUINCAILLERIE!$B$25</definedName>
    <definedName name="T_QUINCAILLERIE_Paquet_Chantier_u">QUINCAILLERIE!$B$24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PREPA!$B$2:$L$24</definedName>
    <definedName name="_xlnm.Print_Area" localSheetId="3">QUINCAILLERIE!$B$2:$G$27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" i="1" l="1"/>
  <c r="S18" i="1"/>
  <c r="R19" i="1"/>
  <c r="R18" i="1"/>
  <c r="Q19" i="1"/>
  <c r="Q18" i="1"/>
  <c r="P19" i="1"/>
  <c r="P18" i="1"/>
  <c r="O19" i="1"/>
  <c r="O18" i="1"/>
  <c r="N19" i="1"/>
  <c r="N18" i="1"/>
  <c r="J19" i="1"/>
  <c r="J18" i="1"/>
  <c r="I19" i="1"/>
  <c r="I18" i="1"/>
  <c r="H19" i="1"/>
  <c r="H18" i="1"/>
  <c r="G19" i="1"/>
  <c r="G18" i="1"/>
  <c r="F19" i="1"/>
  <c r="F18" i="1"/>
  <c r="I15" i="1"/>
  <c r="H15" i="1"/>
  <c r="J15" i="1"/>
  <c r="C15" i="1"/>
  <c r="C19" i="1"/>
  <c r="D19" i="1"/>
  <c r="E19" i="1"/>
  <c r="K19" i="1"/>
  <c r="L19" i="1"/>
  <c r="M19" i="1"/>
  <c r="C18" i="1"/>
  <c r="D18" i="1"/>
  <c r="E18" i="1"/>
  <c r="K18" i="1"/>
  <c r="L18" i="1"/>
  <c r="M18" i="1"/>
  <c r="S15" i="1"/>
  <c r="R15" i="1"/>
  <c r="Q15" i="1"/>
  <c r="P15" i="1"/>
  <c r="O15" i="1"/>
  <c r="N15" i="1"/>
  <c r="M15" i="1"/>
  <c r="L15" i="1"/>
  <c r="K15" i="1"/>
  <c r="G15" i="1"/>
  <c r="F15" i="1"/>
  <c r="E15" i="1"/>
  <c r="D15" i="1"/>
  <c r="B11" i="2"/>
  <c r="B12" i="2"/>
  <c r="B13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<sst xmlns="http://schemas.openxmlformats.org/spreadsheetml/2006/main" count="225" uniqueCount="89">
  <si>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</si>
  <si>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</si>
  <si>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</si>
  <si>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</si>
  <si>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</si>
  <si>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</si>
  <si>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</si>
  <si>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</si>
  <si>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</si>
  <si>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</si>
  <si>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</si>
  <si>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</si>
  <si>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</si>
  <si>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</si>
  <si>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</si>
  <si>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</si>
  <si>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</si>
  <si>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</si>
  <si>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</si>
  <si>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</si>
  <si>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</si>
  <si>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</si>
  <si>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</si>
  <si>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</si>
  <si>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</si>
  <si>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</si>
  <si>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</si>
  <si>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</si>
  <si>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</si>
  <si>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</si>
  <si>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</si>
  <si>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</si>
  <si>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</si>
  <si>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</si>
  <si>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</si>
  <si>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</si>
  <si>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</si>
  <si>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</si>
  <si>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</si>
  <si>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</si>
  <si>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</si>
  <si>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</si>
  <si>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</si>
  <si>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</si>
  <si>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</si>
  <si>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</si>
  <si>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</si>
  <si>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</si>
  <si>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</si>
  <si>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</si>
  <si>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</si>
  <si>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</si>
  <si>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PROFILES</t>
  </si>
  <si>
    <t>Superviseur</t>
  </si>
  <si>
    <t>Bureau d'études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</si>
  <si>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</si>
  <si>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</si>
  <si>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</si>
  <si>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</si>
  <si>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</si>
  <si>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</si>
  <si>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</si>
  <si>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COMPTES</t>
  </si>
  <si>
    <t>PW</t>
  </si>
  <si>
    <t>ID_Profil</t>
  </si>
  <si>
    <t>Tristan</t>
  </si>
  <si>
    <t>Didier</t>
  </si>
  <si>
    <t>Jordan</t>
  </si>
  <si>
    <t>ID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</si>
  <si>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</si>
  <si>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</si>
  <si>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</si>
  <si>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</si>
  <si>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</si>
  <si>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</si>
  <si>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</si>
  <si>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pwTistan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</si>
  <si>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</si>
  <si>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</si>
  <si>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</si>
  <si>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</si>
  <si>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</si>
  <si>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</si>
  <si>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</si>
  <si>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</si>
  <si>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</si>
  <si>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Fiixé</t>
  </si>
  <si>
    <t>Contrôle Chantier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</si>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</sst>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8C8C8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22" fillId="0" borderId="0" xfId="1" applyFont="1" applyBorder="1" applyAlignment="1">
      <alignment horizontal="center" vertic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0" xfId="1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49" fontId="3" fillId="7" borderId="0" xfId="1" applyNumberFormat="1" applyFill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31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numFmt numFmtId="0" formatCode="General"/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A5B33-89B8-4BF8-B541-CD70193AB27B}" name="T_PROFILES" displayName="T_PROFILES" ref="B2:C10" totalsRowShown="0">
  <autoFilter ref="B2:C10" xr:uid="{894A5B33-89B8-4BF8-B541-CD70193AB27B}"/>
  <tableColumns count="2">
    <tableColumn id="1" xr3:uid="{D28A8B4B-5BEA-44D9-A5BE-66C93C5E729C}" name="PROFILES"/>
    <tableColumn id="2" xr3:uid="{B121DD11-0D26-431F-B3DA-5C13554CAEEE}" name="I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F9C557-FD6A-43CF-80F4-524464FFAAFE}" name="T_COMPTES" displayName="T_COMPTES" ref="E2:H5" totalsRowShown="0">
  <autoFilter ref="E2:H5" xr:uid="{CBF9C557-FD6A-43CF-80F4-524464FFAAFE}"/>
  <tableColumns count="4">
    <tableColumn id="1" xr3:uid="{038B18BE-71CF-4B34-AF7C-F01E8C97FD06}" name="COMPTES"/>
    <tableColumn id="2" xr3:uid="{2D5D3764-CF57-4528-BD93-89B13F327DB4}" name="PW"/>
    <tableColumn id="3" xr3:uid="{104ED893-8541-4AE4-BC26-4A74F89A2C67}" name="ID_Profil"/>
    <tableColumn id="4" xr3:uid="{0D4AF1B5-2D48-4212-8276-9AE24B781619}" name="PROFILES" dataDxfId="1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19" totalsRowShown="0" headerRowDxfId="127" dataDxfId="126">
  <autoFilter ref="B17:S19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19">
    <sortCondition sortBy="cellColor" ref="B17:B19" dxfId="125"/>
  </sortState>
  <tableColumns count="18">
    <tableColumn id="1" xr3:uid="{1DDE7D33-1C4F-4E6B-929A-5F9D062600A3}" name="PAQUETS" dataDxfId="124" dataCellStyle="NiveauColonne_1"/>
    <tableColumn id="2" xr3:uid="{1A76A93F-0AD8-4B65-8B33-AA12EA746B9A}" name="Quincaillerie Atelier" dataDxfId="123">
      <calculatedColumnFormula>IF(COUNTIF(T_QUINCAILLERIE_Paquet_Atelier[Paquet],$B18)&gt;0,"VOIR LISTE","")</calculatedColumnFormula>
    </tableColumn>
    <tableColumn id="3" xr3:uid="{51289589-B4D0-4557-809C-6E97AC786BC3}" name="Zinguerie Atelier" dataDxfId="122">
      <calculatedColumnFormula>IF(COUNTIF(T_ZINGUERIE_Paquet_Atelier[Paquet],$B18)&gt;0,"VOIR LISTE","")</calculatedColumnFormula>
    </tableColumn>
    <tableColumn id="4" xr3:uid="{2D40699B-6447-4102-8AAC-6EF641F34DC7}" name="Prépa. Atelier" dataDxfId="121">
      <calculatedColumnFormula>IF(COUNTIF(T_PREPA_Paquet_Atelier[Paquet],$B18)&gt;0,"VOIR LISTE","")</calculatedColumnFormula>
    </tableColumn>
    <tableColumn id="5" xr3:uid="{1F20B2D4-E68E-486B-90A9-7BB5761C6523}" name="Taillé" dataDxfId="120">
      <calculatedColumnFormula>"A FAIRE"</calculatedColumnFormula>
    </tableColumn>
    <tableColumn id="6" xr3:uid="{7C679719-82C8-4026-98EE-B817D40FAA5C}" name="Traité" dataDxfId="119">
      <calculatedColumnFormula>"A FAIRE"</calculatedColumnFormula>
    </tableColumn>
    <tableColumn id="7" xr3:uid="{C208AC88-55A4-4011-964E-7FAF4C62A90D}" name="Assemblé en Atelier" dataDxfId="118">
      <calculatedColumnFormula>"A FAIRE"</calculatedColumnFormula>
    </tableColumn>
    <tableColumn id="9" xr3:uid="{19603D6A-6E39-40C5-8528-DDE594A94DA9}" name="Contrôle Atelier" dataDxfId="117">
      <calculatedColumnFormula>"A FAIRE"</calculatedColumnFormula>
    </tableColumn>
    <tableColumn id="10" xr3:uid="{2BA2D8D5-BB76-4ABD-AFAB-FC4947E7A056}" name="Stocké" dataDxfId="116">
      <calculatedColumnFormula>"A FAIRE"</calculatedColumnFormula>
    </tableColumn>
    <tableColumn id="12" xr3:uid="{217EF6C9-AD64-488D-A6E4-9C05487A9020}" name="Quincaillerie Chantier" dataDxfId="115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4">
      <calculatedColumnFormula>IF(COUNTIF(T_ZINGUERIE_Paquet_Chantier[Paquet],$B18)&gt;0,"VOIR LISTE","")</calculatedColumnFormula>
    </tableColumn>
    <tableColumn id="14" xr3:uid="{A595CD34-047E-454A-A1D0-7DE319C95CDF}" name="Prépa. Chantier" dataDxfId="113">
      <calculatedColumnFormula>IF(COUNTIF(T_PREPA_Paquet_Chantier[Paquet],$B18)&gt;0,"VOIR LISTE","")</calculatedColumnFormula>
    </tableColumn>
    <tableColumn id="11" xr3:uid="{57D5DC3B-B14E-4407-9091-0312DE640781}" name="Chargé" dataDxfId="112">
      <calculatedColumnFormula>"A FAIRE"</calculatedColumnFormula>
    </tableColumn>
    <tableColumn id="15" xr3:uid="{17EBFEAD-E591-4DFB-8589-5D4EE56EE699}" name="Livré" dataDxfId="111">
      <calculatedColumnFormula>"A FAIRE"</calculatedColumnFormula>
    </tableColumn>
    <tableColumn id="16" xr3:uid="{E445ECBD-7E5E-472B-81D3-997CEFC6C3C5}" name="Posé" dataDxfId="110">
      <calculatedColumnFormula>"A FAIRE"</calculatedColumnFormula>
    </tableColumn>
    <tableColumn id="18" xr3:uid="{86E03902-2B69-4FFF-9F74-7CA4618C2450}" name="Fiixé" dataDxfId="109">
      <calculatedColumnFormula>"A FAIRE"</calculatedColumnFormula>
    </tableColumn>
    <tableColumn id="20" xr3:uid="{067A8A67-DA6E-4E3B-B3D5-A804FAFBF27E}" name="Finition" dataDxfId="108">
      <calculatedColumnFormula>"A FAIRE"</calculatedColumnFormula>
    </tableColumn>
    <tableColumn id="21" xr3:uid="{DC3C02A3-9B8E-439E-9B5C-AEEF07B366CB}" name="Contrôle Chantier" dataDxfId="107">
      <calculatedColumnFormula>"A FAIRE"</calculatedColumnFormula>
    </tableColumn>
  </tableColumns>
  <tableStyleInfo name="TableStyleMedium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0" totalsRowShown="0" headerRowDxfId="106" dataDxfId="105">
  <autoFilter ref="C6:L10" xr:uid="{E6F69E36-6B87-4392-ACAC-167594C47961}"/>
  <tableColumns count="10">
    <tableColumn id="1" xr3:uid="{3C9285F5-9AA2-4DE7-A913-B0F6828D1FFB}" name="Désignation" dataDxfId="104"/>
    <tableColumn id="6" xr3:uid="{41A77DBE-BC57-4B8D-A01A-CECE86F2A68D}" name="N°" dataDxfId="103"/>
    <tableColumn id="2" xr3:uid="{08BC5E2B-D319-485C-95F6-A5B0569E440E}" name="Matériau" dataDxfId="102"/>
    <tableColumn id="9" xr3:uid="{5DC77A81-A2BE-475B-B2F9-964DD26B3E5F}" name="Essence" dataDxfId="101"/>
    <tableColumn id="8" xr3:uid="{CAAD0ABD-8D4A-43A6-B9B6-CD66D42CACA5}" name="Classe" dataDxfId="100"/>
    <tableColumn id="7" xr3:uid="{24230057-B61A-4518-95D2-4781554FC300}" name="Dimension" dataDxfId="99"/>
    <tableColumn id="10" xr3:uid="{D9591ABC-A97F-42DB-A292-1CB89996A203}" name="Long." dataDxfId="98"/>
    <tableColumn id="4" xr3:uid="{384EE755-9379-4218-A56F-4630BEFB3D80}" name="Qté" dataDxfId="97"/>
    <tableColumn id="3" xr3:uid="{EF4C7AD8-65B9-4A84-AA3F-7794343A6D50}" name="-" dataDxfId="96"/>
    <tableColumn id="5" xr3:uid="{79CEC700-FD16-48E6-8A16-B9B2BD99288F}" name="Prêt" dataDxfId="95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3:L17" totalsRowShown="0" headerRowDxfId="94" dataDxfId="93">
  <autoFilter ref="B13:L17" xr:uid="{B04758A5-4480-4251-B0FC-4D5B5F6F2E5D}"/>
  <sortState xmlns:xlrd2="http://schemas.microsoft.com/office/spreadsheetml/2017/richdata2" ref="B14:L17">
    <sortCondition ref="B13:B17"/>
  </sortState>
  <tableColumns count="11">
    <tableColumn id="1" xr3:uid="{EEF5FFC9-D2B7-4DE0-84B9-895BCD7AD291}" name="Paquet" dataDxfId="92"/>
    <tableColumn id="5" xr3:uid="{B9371F0E-5ACE-42D5-9351-D47F361F4162}" name="Désignation" dataDxfId="91"/>
    <tableColumn id="6" xr3:uid="{6366193C-8BFF-4D65-AEA5-1BB413637A0C}" name="N°" dataDxfId="90"/>
    <tableColumn id="2" xr3:uid="{3D1F1A55-A0EF-4D39-B9B4-6708DC4F4926}" name="Matériau" dataDxfId="89"/>
    <tableColumn id="11" xr3:uid="{08E47012-9C0F-4509-B7AE-E2EEE872CD76}" name="Essence" dataDxfId="88"/>
    <tableColumn id="10" xr3:uid="{EF04AC4A-F3FB-4979-97C7-93DBE11EA520}" name="Classe" dataDxfId="87"/>
    <tableColumn id="9" xr3:uid="{059A3117-C034-4DB0-A4A0-CCC4583162AA}" name="Dimension" dataDxfId="86"/>
    <tableColumn id="8" xr3:uid="{D73772F5-A087-46AB-81C1-1DA9FEBD9ED6}" name="Long." dataDxfId="85"/>
    <tableColumn id="4" xr3:uid="{A8C83324-3449-4B81-B1D1-15F0A0B1D6C4}" name="Qté" dataDxfId="84"/>
    <tableColumn id="3" xr3:uid="{FD5A83DF-66D0-441B-A521-933A4D569CAE}" name=" " dataDxfId="83"/>
    <tableColumn id="7" xr3:uid="{D237E472-4C1F-4EC5-82C0-D955B5585D6B}" name="Prêt" dataDxfId="82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0:L24" totalsRowShown="0" headerRowDxfId="81" dataDxfId="80">
  <autoFilter ref="B20:L24" xr:uid="{F50FD31C-85AD-475A-9550-553217FB2E05}"/>
  <sortState xmlns:xlrd2="http://schemas.microsoft.com/office/spreadsheetml/2017/richdata2" ref="B21:L24">
    <sortCondition ref="B20:B24"/>
  </sortState>
  <tableColumns count="11">
    <tableColumn id="1" xr3:uid="{015D8C7C-A6D3-4E55-82FB-762C5E94847B}" name="Paquet" dataDxfId="79"/>
    <tableColumn id="5" xr3:uid="{23316E6C-5A06-4803-849F-19C4B5754D7B}" name="Désignation" dataDxfId="78"/>
    <tableColumn id="6" xr3:uid="{A41FE746-E379-4860-B006-FD7ECD1B348A}" name="N°" dataDxfId="77"/>
    <tableColumn id="2" xr3:uid="{D64EF94E-2850-467A-999E-F1B5B6323926}" name="Matériau" dataDxfId="76"/>
    <tableColumn id="11" xr3:uid="{E9F04B14-992E-4E89-A8FB-4F9D4940AB52}" name="Essence" dataDxfId="75"/>
    <tableColumn id="10" xr3:uid="{D6DF61E6-EA78-42E3-914B-1E49B8730BC8}" name="Classe" dataDxfId="74"/>
    <tableColumn id="9" xr3:uid="{3234CC7B-6216-469F-BB7B-9C2615ABDD51}" name="Dimension" dataDxfId="73"/>
    <tableColumn id="8" xr3:uid="{AE548F6D-DCCB-4499-9033-6003BEE44B35}" name="Long." dataDxfId="72"/>
    <tableColumn id="4" xr3:uid="{35D29AAE-2F99-4053-A3EB-4E58AA40A491}" name="Qté" dataDxfId="71"/>
    <tableColumn id="3" xr3:uid="{37860936-457A-44D8-B745-BF2EB1E75018}" name=" " dataDxfId="70"/>
    <tableColumn id="7" xr3:uid="{CE3BD76C-EF1C-47B3-80B8-E2C177AB3E24}" name="Prêt" dataDxfId="69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3" totalsRowShown="0" headerRowDxfId="68" dataDxfId="67">
  <autoFilter ref="B9:G13" xr:uid="{E6F69E36-6B87-4392-ACAC-167594C47961}"/>
  <tableColumns count="6">
    <tableColumn id="6" xr3:uid="{DC2E6C18-F416-4A3F-AAD2-B94DF8FBD233}" name="Assemblage" dataDxfId="66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5"/>
    <tableColumn id="2" xr3:uid="{1B80AB11-2AFA-4D00-B7A5-D5F9939842A0}" name="Matériau" dataDxfId="64"/>
    <tableColumn id="4" xr3:uid="{ECD12A10-ACB3-42FD-864A-36DF1F3A491D}" name="Qté" dataDxfId="63"/>
    <tableColumn id="3" xr3:uid="{20AD6782-2692-47A2-8CB0-5404E67F160D}" name="-" dataDxfId="62"/>
    <tableColumn id="5" xr3:uid="{2DE09A4F-B885-4B60-AE7C-442ED7AEBD4B}" name="Prêt" dataDxfId="61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16:G20" totalsRowShown="0" headerRowDxfId="60" dataDxfId="59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568A0ABF-7181-4A81-B6FF-11156586AAA0}" name="Paquet" dataDxfId="58"/>
    <tableColumn id="5" xr3:uid="{AAB4B5C2-9D6D-497C-97D9-CACB5BF81D52}" name="Désignation" dataDxfId="57"/>
    <tableColumn id="2" xr3:uid="{10AFE9B3-28D5-48D0-8C64-AE27B8AEB6A4}" name="Matériau" dataDxfId="56"/>
    <tableColumn id="4" xr3:uid="{883B7CC3-8E16-403A-AFA8-3937CFBE7A9A}" name="Qté" dataDxfId="55"/>
    <tableColumn id="3" xr3:uid="{DAFBE898-55D6-48AA-90F7-DFDCEE72602C}" name="-" dataDxfId="54"/>
    <tableColumn id="7" xr3:uid="{08D0FFCF-68B8-4CF1-A428-B7E27D5EBB8F}" name="Prêt" dataDxfId="53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23:G27" totalsRowShown="0" headerRowDxfId="52" dataDxfId="51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8985EE59-301A-4C81-B0F4-F1A65F3736AF}" name="Paquet" dataDxfId="50"/>
    <tableColumn id="5" xr3:uid="{9B5A1DBF-E76D-41B1-BA95-DAAFC022403D}" name="Désignation" dataDxfId="49"/>
    <tableColumn id="2" xr3:uid="{3C92091E-9806-4893-822D-32EB4B8B6EF6}" name="Matériau" dataDxfId="48"/>
    <tableColumn id="4" xr3:uid="{9D6C9F1A-6DDC-4C50-B353-7832D2903CC8}" name="Qté" dataDxfId="47"/>
    <tableColumn id="3" xr3:uid="{0275CD9A-60E3-4040-8799-97CE1CFC85AC}" name="-" dataDxfId="46"/>
    <tableColumn id="7" xr3:uid="{4FA61316-A09B-4BD0-8CC1-D4691C5CF818}" name="Prêt" dataDxfId="45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4" dataDxfId="43">
  <autoFilter ref="C9:G13" xr:uid="{E6F69E36-6B87-4392-ACAC-167594C47961}"/>
  <tableColumns count="5">
    <tableColumn id="1" xr3:uid="{53F5511C-D9AA-4CD6-8F86-EA8A2AC9C03D}" name="Désignation" dataDxfId="42"/>
    <tableColumn id="2" xr3:uid="{DC12BEFC-2390-4CB3-83CA-23A7A5FBCCF8}" name="Matériau" dataDxfId="41"/>
    <tableColumn id="4" xr3:uid="{10D2BC47-EE7B-4DA5-B929-ED292BBA0465}" name="Qté" dataDxfId="40"/>
    <tableColumn id="3" xr3:uid="{773AD0BE-65BF-46EA-A426-40576B028785}" name="-" dataDxfId="39"/>
    <tableColumn id="5" xr3:uid="{7D4797A5-A4FC-412A-9005-6482DF24B14D}" name="Prêt" dataDxfId="3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7" dataDxfId="36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5"/>
    <tableColumn id="5" xr3:uid="{4EC9F0F0-F862-47F3-BAE2-AFD228CCC6EE}" name="Désignation" dataDxfId="34"/>
    <tableColumn id="2" xr3:uid="{F554D378-18CF-4123-8CA2-4089C8D4E44B}" name="Matériau" dataDxfId="33"/>
    <tableColumn id="4" xr3:uid="{9125C89C-B294-444E-A703-40CF9B7288A4}" name="Qté" dataDxfId="32"/>
    <tableColumn id="3" xr3:uid="{E8C43B02-2FF0-45E1-A1F9-9B75D14E6410}" name="-" dataDxfId="31"/>
    <tableColumn id="7" xr3:uid="{8D660AE0-ABCF-4C64-B5A8-049D8F0FC894}" name="Prêt" dataDxfId="30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29" dataDxfId="28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7"/>
    <tableColumn id="5" xr3:uid="{F1B6DF65-6852-48C0-9B7E-077EDA338CEB}" name="Désignation" dataDxfId="26"/>
    <tableColumn id="2" xr3:uid="{E1941A86-78A2-465C-920A-C64175AFE9CE}" name="Matériau" dataDxfId="25"/>
    <tableColumn id="4" xr3:uid="{6C1A886F-4582-48C4-A07B-2773E705F87B}" name="Qté" dataDxfId="24"/>
    <tableColumn id="3" xr3:uid="{D61FDB89-F701-4038-864D-A22CF9B6F857}" name="-" dataDxfId="23"/>
    <tableColumn id="7" xr3:uid="{0017B7BF-DB60-4D03-93B8-8ACABC255EC5}" name="Prêt" dataDxfId="22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4" insertRow="1" totalsRowShown="0">
  <autoFilter ref="B3:E4" xr:uid="{98138935-7AB4-4201-AE23-C4A55AC3A9DE}"/>
  <tableColumns count="4">
    <tableColumn id="1" xr3:uid="{061700C4-4C54-4FE4-AE87-FA75BB41E298}" name="Element de" dataDxfId="21"/>
    <tableColumn id="2" xr3:uid="{A50C459A-B7E9-499C-8E84-5126390CA2E7}" name="Désignation" dataDxfId="20"/>
    <tableColumn id="4" xr3:uid="{04561609-7610-47BA-A52C-61458D0C96B3}" name="N°" dataDxfId="19"/>
    <tableColumn id="5" xr3:uid="{69DCEDE7-8648-43CD-B76F-E15350E8F739}" name="Qté" dataDxfId="18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7"/>
    <tableColumn id="3" xr3:uid="{69337440-2982-4719-A550-8A5D7A788945}" name="Largeur" dataDxfId="16"/>
    <tableColumn id="4" xr3:uid="{7D97E299-C651-44EA-B203-3E7F649B9DAC}" name="Epaisseur" dataDxfId="15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4" dataDxfId="13">
  <autoFilter ref="B10:F12" xr:uid="{E34661AD-B7A6-44EF-B91C-FBB6389459CA}"/>
  <tableColumns count="5">
    <tableColumn id="1" xr3:uid="{CB739DEC-7F17-4BD6-A772-DED76040C16F}" name="Paquet" dataDxfId="12"/>
    <tableColumn id="2" xr3:uid="{0BD5DA46-D502-4FD6-8F8B-7598A7A25020}" name="Matériau" dataDxfId="11"/>
    <tableColumn id="3" xr3:uid="{8AA6D28E-346F-445F-973C-190D62435A43}" name="Classe" dataDxfId="10"/>
    <tableColumn id="5" xr3:uid="{993EAAAD-BB0D-40FC-A1E4-B623E959C8BE}" name="Finition" dataDxfId="9"/>
    <tableColumn id="4" xr3:uid="{3215A35F-0672-4A5A-B60B-A7E841030132}" name="Volume" dataDxfId="8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7" dataDxfId="6">
  <autoFilter ref="C4:D6" xr:uid="{082B26DB-E9DC-4907-BBDE-FE7C47980DB2}"/>
  <tableColumns count="2">
    <tableColumn id="1" xr3:uid="{3079D95F-4715-4D5A-87D3-2E18BB67CF58}" name="Questions" dataDxfId="5"/>
    <tableColumn id="2" xr3:uid="{0CE675B3-B9CC-48EC-8217-C7FFA0A1F42B}" name="Traité" dataDxfId="4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3" dataDxfId="2">
  <autoFilter ref="C13:D15" xr:uid="{04B3D69A-DE50-4EE4-BD37-F8C661DDA37A}"/>
  <tableColumns count="2">
    <tableColumn id="1" xr3:uid="{043E2E4C-68FB-44E8-8006-6B3CE81B28AD}" name="Penses Bête" dataDxfId="1"/>
    <tableColumn id="2" xr3:uid="{2B8FEE09-7BCB-4BFD-A1C8-CAA9014A5E03}" name="Traité" dataDxfId="0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H10"/>
  <sheetViews>
    <sheetView showGridLines="0" showRowColHeaders="0" zoomScale="250" zoomScaleNormal="250" workbookViewId="0">
      <selection activeCell="J4" sqref="J4"/>
    </sheetView>
  </sheetViews>
  <sheetFormatPr baseColWidth="10" defaultRowHeight="15" x14ac:dyDescent="0.25"/>
  <cols>
    <col min="1" max="1" width="4.42578125" customWidth="1"/>
    <col min="2" max="2" width="38.7109375" customWidth="1"/>
    <col min="3" max="3" width="11.42578125" hidden="1" customWidth="1"/>
    <col min="4" max="5" width="0" hidden="1" customWidth="1"/>
    <col min="6" max="7" width="11.42578125" hidden="1" customWidth="1"/>
    <col min="8" max="8" width="0" hidden="1" customWidth="1"/>
  </cols>
  <sheetData>
    <row r="2" spans="2:8" x14ac:dyDescent="0.25">
      <c r="B2" t="s">
        <v>52</v>
      </c>
      <c r="C2" t="s">
        <v>68</v>
      </c>
      <c r="E2" t="s">
        <v>62</v>
      </c>
      <c r="F2" t="s">
        <v>63</v>
      </c>
      <c r="G2" t="s">
        <v>64</v>
      </c>
      <c r="H2" t="s">
        <v>52</v>
      </c>
    </row>
    <row r="3" spans="2:8" x14ac:dyDescent="0.25">
      <c r="B3" t="s">
        <v>53</v>
      </c>
      <c r="C3">
        <v>1</v>
      </c>
      <c r="E3" t="s">
        <v>65</v>
      </c>
      <c r="F3" t="s">
        <v>76</v>
      </c>
      <c r="G3">
        <v>1</v>
      </c>
    </row>
    <row r="4" spans="2:8" x14ac:dyDescent="0.25">
      <c r="B4" t="s">
        <v>54</v>
      </c>
      <c r="C4">
        <v>2</v>
      </c>
      <c r="E4" t="s">
        <v>66</v>
      </c>
      <c r="F4" t="s">
        <v>77</v>
      </c>
      <c r="G4">
        <v>3</v>
      </c>
    </row>
    <row r="5" spans="2:8" x14ac:dyDescent="0.25">
      <c r="B5" t="s">
        <v>55</v>
      </c>
      <c r="C5">
        <v>3</v>
      </c>
      <c r="E5" t="s">
        <v>67</v>
      </c>
      <c r="F5" t="s">
        <v>78</v>
      </c>
      <c r="G5">
        <v>3</v>
      </c>
    </row>
    <row r="6" spans="2:8" x14ac:dyDescent="0.25">
      <c r="B6" t="s">
        <v>56</v>
      </c>
      <c r="C6">
        <v>4</v>
      </c>
    </row>
    <row r="7" spans="2:8" x14ac:dyDescent="0.25">
      <c r="B7" t="s">
        <v>57</v>
      </c>
      <c r="C7">
        <v>5</v>
      </c>
    </row>
    <row r="8" spans="2:8" x14ac:dyDescent="0.25">
      <c r="B8" t="s">
        <v>59</v>
      </c>
      <c r="C8">
        <v>6</v>
      </c>
    </row>
    <row r="9" spans="2:8" x14ac:dyDescent="0.25">
      <c r="B9" t="s">
        <v>58</v>
      </c>
      <c r="C9">
        <v>7</v>
      </c>
    </row>
    <row r="10" spans="2:8" x14ac:dyDescent="0.25">
      <c r="B10" t="s">
        <v>60</v>
      </c>
      <c r="C10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showRowColHeaders="0" tabSelected="1" zoomScaleNormal="100" zoomScaleSheetLayoutView="130" workbookViewId="0">
      <pane ySplit="17" topLeftCell="A18" activePane="bottomLeft" state="frozen"/>
      <selection pane="bottomLeft" activeCell="H24" sqref="H24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3"/>
      <c r="D1" s="53"/>
      <c r="E1" s="53"/>
      <c r="F1" s="53"/>
      <c r="G1" s="53"/>
      <c r="H1" s="53"/>
      <c r="I1" s="53"/>
      <c r="J1" s="53"/>
      <c r="K1" s="55"/>
      <c r="L1" s="54"/>
      <c r="M1" s="55"/>
      <c r="N1" s="55"/>
      <c r="O1" s="55"/>
      <c r="P1" s="55"/>
      <c r="Q1" s="55"/>
      <c r="R1" s="55"/>
      <c r="S1" s="55"/>
    </row>
    <row r="2" spans="2:19" ht="16.5" customHeight="1" thickBot="1" x14ac:dyDescent="0.3"/>
    <row r="3" spans="2:19" ht="15.75" customHeight="1" x14ac:dyDescent="0.25">
      <c r="B3" s="1" t="s">
        <v>61</v>
      </c>
      <c r="C3" s="74" t="s">
        <v>47</v>
      </c>
      <c r="D3" s="37" t="s">
        <v>1</v>
      </c>
      <c r="E3" s="65" t="s">
        <v>88</v>
      </c>
      <c r="F3" s="66"/>
      <c r="G3" s="71" t="s">
        <v>88</v>
      </c>
      <c r="H3" s="72"/>
      <c r="I3" s="69" t="s">
        <v>88</v>
      </c>
      <c r="J3" s="70"/>
      <c r="K3" s="75" t="s">
        <v>48</v>
      </c>
      <c r="L3" s="37" t="s">
        <v>1</v>
      </c>
      <c r="M3" s="76" t="str">
        <f>Projet_Suivi_par</f>
        <v>--</v>
      </c>
      <c r="N3" s="77"/>
      <c r="O3" s="72" t="str">
        <f>Projet_ref</f>
        <v>--</v>
      </c>
      <c r="P3" s="72"/>
      <c r="Q3" s="78" t="str">
        <f xml:space="preserve"> Projet_Adresse</f>
        <v>--</v>
      </c>
      <c r="R3" s="78"/>
    </row>
    <row r="4" spans="2:19" ht="15.75" customHeight="1" thickBot="1" x14ac:dyDescent="0.3">
      <c r="B4" s="1"/>
      <c r="C4" s="74"/>
      <c r="D4" s="38" t="s">
        <v>2</v>
      </c>
      <c r="E4" s="67" t="s">
        <v>88</v>
      </c>
      <c r="F4" s="68"/>
      <c r="G4" s="73"/>
      <c r="H4" s="73"/>
      <c r="I4" s="45" t="s">
        <v>88</v>
      </c>
      <c r="J4" s="46" t="s">
        <v>88</v>
      </c>
      <c r="K4" s="75"/>
      <c r="L4" s="38" t="s">
        <v>2</v>
      </c>
      <c r="M4" s="79" t="str">
        <f>Projet_Conducteur</f>
        <v>--</v>
      </c>
      <c r="N4" s="80"/>
      <c r="O4" s="73"/>
      <c r="P4" s="73"/>
      <c r="Q4" s="81" t="str">
        <f xml:space="preserve"> Projet_CP</f>
        <v>--</v>
      </c>
      <c r="R4" s="81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0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9" t="s">
        <v>74</v>
      </c>
      <c r="C15" s="47">
        <f>_xlfn.XLOOKUP(C16,T_PROFILES[PROFILES],T_PROFILES[ID],"",0)</f>
        <v>5</v>
      </c>
      <c r="D15" s="47">
        <f>_xlfn.XLOOKUP(D16,T_PROFILES[PROFILES],T_PROFILES[ID],"",0)</f>
        <v>4</v>
      </c>
      <c r="E15" s="47">
        <f>_xlfn.XLOOKUP(E16,T_PROFILES[PROFILES],T_PROFILES[ID],"",0)</f>
        <v>3</v>
      </c>
      <c r="F15" s="47">
        <f>_xlfn.XLOOKUP(F16,T_PROFILES[PROFILES],T_PROFILES[ID],"",0)</f>
        <v>3</v>
      </c>
      <c r="G15" s="47">
        <f>_xlfn.XLOOKUP(G16,T_PROFILES[PROFILES],T_PROFILES[ID],"",0)</f>
        <v>3</v>
      </c>
      <c r="H15" s="47">
        <f>_xlfn.XLOOKUP(H16,T_PROFILES[PROFILES],T_PROFILES[ID],"",0)</f>
        <v>3</v>
      </c>
      <c r="I15" s="47">
        <f>_xlfn.XLOOKUP(I16,T_PROFILES[PROFILES],T_PROFILES[ID],"",0)</f>
        <v>3</v>
      </c>
      <c r="J15" s="47">
        <f>_xlfn.XLOOKUP(J16,T_PROFILES[PROFILES],T_PROFILES[ID],"",0)</f>
        <v>3</v>
      </c>
      <c r="K15" s="47">
        <f>_xlfn.XLOOKUP(K16,T_PROFILES[PROFILES],T_PROFILES[ID],"",0)</f>
        <v>5</v>
      </c>
      <c r="L15" s="48">
        <f>_xlfn.XLOOKUP(L16,T_PROFILES[PROFILES],T_PROFILES[ID],"",0)</f>
        <v>4</v>
      </c>
      <c r="M15" s="47">
        <f>_xlfn.XLOOKUP(M16,T_PROFILES[PROFILES],T_PROFILES[ID],"",0)</f>
        <v>3</v>
      </c>
      <c r="N15" s="47">
        <f>_xlfn.XLOOKUP(N16,T_PROFILES[PROFILES],T_PROFILES[ID],"",0)</f>
        <v>6</v>
      </c>
      <c r="O15" s="47">
        <f>_xlfn.XLOOKUP(O16,T_PROFILES[PROFILES],T_PROFILES[ID],"",0)</f>
        <v>6</v>
      </c>
      <c r="P15" s="47">
        <f>_xlfn.XLOOKUP(P16,T_PROFILES[PROFILES],T_PROFILES[ID],"",0)</f>
        <v>7</v>
      </c>
      <c r="Q15" s="47">
        <f>_xlfn.XLOOKUP(Q16,T_PROFILES[PROFILES],T_PROFILES[ID],"",0)</f>
        <v>7</v>
      </c>
      <c r="R15" s="47">
        <f>_xlfn.XLOOKUP(R16,T_PROFILES[PROFILES],T_PROFILES[ID],"",0)</f>
        <v>7</v>
      </c>
      <c r="S15" s="47">
        <f>_xlfn.XLOOKUP(S16,T_PROFILES[PROFILES],T_PROFILES[ID],"",0)</f>
        <v>8</v>
      </c>
    </row>
    <row r="16" spans="2:19" s="50" customFormat="1" ht="11.25" customHeight="1" x14ac:dyDescent="0.2">
      <c r="B16" s="51" t="s">
        <v>75</v>
      </c>
      <c r="C16" s="51" t="s">
        <v>57</v>
      </c>
      <c r="D16" s="51" t="s">
        <v>56</v>
      </c>
      <c r="E16" s="51" t="s">
        <v>55</v>
      </c>
      <c r="F16" s="51" t="s">
        <v>55</v>
      </c>
      <c r="G16" s="51" t="s">
        <v>55</v>
      </c>
      <c r="H16" s="51" t="s">
        <v>55</v>
      </c>
      <c r="I16" s="51" t="s">
        <v>55</v>
      </c>
      <c r="J16" s="51" t="s">
        <v>55</v>
      </c>
      <c r="K16" s="51" t="s">
        <v>57</v>
      </c>
      <c r="L16" s="51" t="s">
        <v>56</v>
      </c>
      <c r="M16" s="51" t="s">
        <v>55</v>
      </c>
      <c r="N16" s="51" t="s">
        <v>59</v>
      </c>
      <c r="O16" s="51" t="s">
        <v>59</v>
      </c>
      <c r="P16" s="51" t="s">
        <v>58</v>
      </c>
      <c r="Q16" s="51" t="s">
        <v>58</v>
      </c>
      <c r="R16" s="51" t="s">
        <v>58</v>
      </c>
      <c r="S16" s="51" t="s">
        <v>60</v>
      </c>
    </row>
    <row r="17" spans="1:19" ht="30" x14ac:dyDescent="0.25">
      <c r="B17" s="43" t="s">
        <v>0</v>
      </c>
      <c r="C17" s="42" t="s">
        <v>51</v>
      </c>
      <c r="D17" s="42" t="s">
        <v>69</v>
      </c>
      <c r="E17" s="42" t="s">
        <v>70</v>
      </c>
      <c r="F17" s="42" t="s">
        <v>79</v>
      </c>
      <c r="G17" s="42" t="s">
        <v>23</v>
      </c>
      <c r="H17" s="42" t="s">
        <v>80</v>
      </c>
      <c r="I17" s="42" t="s">
        <v>81</v>
      </c>
      <c r="J17" s="42" t="s">
        <v>82</v>
      </c>
      <c r="K17" s="43" t="s">
        <v>71</v>
      </c>
      <c r="L17" s="42" t="s">
        <v>72</v>
      </c>
      <c r="M17" s="42" t="s">
        <v>73</v>
      </c>
      <c r="N17" s="42" t="s">
        <v>83</v>
      </c>
      <c r="O17" s="42" t="s">
        <v>84</v>
      </c>
      <c r="P17" s="42" t="s">
        <v>85</v>
      </c>
      <c r="Q17" s="42" t="s">
        <v>86</v>
      </c>
      <c r="R17" s="42" t="s">
        <v>43</v>
      </c>
      <c r="S17" s="42" t="s">
        <v>87</v>
      </c>
    </row>
    <row r="18" spans="1:19" ht="24.95" customHeight="1" x14ac:dyDescent="0.25">
      <c r="B18" s="64"/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/>
      </c>
      <c r="F18" s="44" t="str">
        <f t="shared" ref="F18:J19" si="0">"A FAIRE"</f>
        <v>A FAIRE</v>
      </c>
      <c r="G18" s="44" t="str">
        <f t="shared" si="0"/>
        <v>A FAIRE</v>
      </c>
      <c r="H18" s="44" t="str">
        <f t="shared" si="0"/>
        <v>A FAIRE</v>
      </c>
      <c r="I18" s="44" t="str">
        <f t="shared" si="0"/>
        <v>A FAIRE</v>
      </c>
      <c r="J18" s="44" t="str">
        <f t="shared" si="0"/>
        <v>A FAIRE</v>
      </c>
      <c r="K18" s="52" t="str">
        <f>IF(COUNTIF(T_QUINCAILLERIE_Paquet_Chantier[Paquet],$B18)&gt;0,"VOIR LISTE","")</f>
        <v/>
      </c>
      <c r="L18" s="52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 t="shared" ref="N18:S19" si="1">"A FAIRE"</f>
        <v>A FAIRE</v>
      </c>
      <c r="O18" s="44" t="str">
        <f t="shared" si="1"/>
        <v>A FAIRE</v>
      </c>
      <c r="P18" s="44" t="str">
        <f t="shared" si="1"/>
        <v>A FAIRE</v>
      </c>
      <c r="Q18" s="44" t="str">
        <f t="shared" si="1"/>
        <v>A FAIRE</v>
      </c>
      <c r="R18" s="44" t="str">
        <f t="shared" si="1"/>
        <v>A FAIRE</v>
      </c>
      <c r="S18" s="44" t="str">
        <f t="shared" si="1"/>
        <v>A FAIRE</v>
      </c>
    </row>
    <row r="19" spans="1:19" ht="24.95" customHeight="1" x14ac:dyDescent="0.25">
      <c r="A19" s="44"/>
      <c r="B19" s="64"/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 t="shared" si="0"/>
        <v>A FAIRE</v>
      </c>
      <c r="G19" s="44" t="str">
        <f t="shared" si="0"/>
        <v>A FAIRE</v>
      </c>
      <c r="H19" s="44" t="str">
        <f t="shared" si="0"/>
        <v>A FAIRE</v>
      </c>
      <c r="I19" s="44" t="str">
        <f t="shared" si="0"/>
        <v>A FAIRE</v>
      </c>
      <c r="J19" s="44" t="str">
        <f t="shared" si="0"/>
        <v>A FAIRE</v>
      </c>
      <c r="K19" s="52" t="str">
        <f>IF(COUNTIF(T_QUINCAILLERIE_Paquet_Chantier[Paquet],$B19)&gt;0,"VOIR LISTE","")</f>
        <v/>
      </c>
      <c r="L19" s="52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 t="shared" si="1"/>
        <v>A FAIRE</v>
      </c>
      <c r="O19" s="44" t="str">
        <f t="shared" si="1"/>
        <v>A FAIRE</v>
      </c>
      <c r="P19" s="44" t="str">
        <f t="shared" si="1"/>
        <v>A FAIRE</v>
      </c>
      <c r="Q19" s="44" t="str">
        <f t="shared" si="1"/>
        <v>A FAIRE</v>
      </c>
      <c r="R19" s="44" t="str">
        <f t="shared" si="1"/>
        <v>A FAIRE</v>
      </c>
      <c r="S19" s="44" t="str">
        <f t="shared" si="1"/>
        <v>A FAIRE</v>
      </c>
    </row>
    <row r="20" spans="1:19" ht="24.95" customHeight="1" x14ac:dyDescent="0.25"/>
    <row r="21" spans="1:19" ht="24.95" customHeight="1" x14ac:dyDescent="0.25"/>
    <row r="22" spans="1:19" ht="24.95" customHeight="1" x14ac:dyDescent="0.25"/>
    <row r="23" spans="1:19" ht="24.95" customHeight="1" x14ac:dyDescent="0.25"/>
    <row r="24" spans="1:19" ht="24.95" customHeight="1" x14ac:dyDescent="0.25"/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K3:K4"/>
    <mergeCell ref="M3:N3"/>
    <mergeCell ref="Q3:R3"/>
    <mergeCell ref="M4:N4"/>
    <mergeCell ref="Q4:R4"/>
    <mergeCell ref="O3:P4"/>
    <mergeCell ref="B3:B4"/>
    <mergeCell ref="E3:F3"/>
    <mergeCell ref="E4:F4"/>
    <mergeCell ref="I3:J3"/>
    <mergeCell ref="G3:H4"/>
    <mergeCell ref="C3:C4"/>
  </mergeCells>
  <phoneticPr fontId="2" type="noConversion"/>
  <conditionalFormatting sqref="C18:S19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6720809A-ADC9-4B4D-A786-4EAC10A1351D}">
      <formula1>C_PROFILES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5"/>
  <sheetViews>
    <sheetView showGridLines="0" showRowColHeaders="0" view="pageBreakPreview" zoomScaleNormal="100" zoomScaleSheetLayoutView="100" workbookViewId="0">
      <selection activeCell="B21" sqref="B21:L2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3" t="s">
        <v>38</v>
      </c>
      <c r="C2" s="82" t="str">
        <f>Projet_ref</f>
        <v>--</v>
      </c>
      <c r="D2" s="82"/>
      <c r="E2" s="82"/>
      <c r="F2" s="82"/>
      <c r="G2" s="82"/>
      <c r="H2" s="82"/>
      <c r="J2" s="15" t="s">
        <v>1</v>
      </c>
      <c r="K2" s="83" t="str">
        <f>Projet_Suivi_par</f>
        <v>--</v>
      </c>
      <c r="L2" s="83"/>
    </row>
    <row r="3" spans="2:12" ht="18.75" x14ac:dyDescent="0.3">
      <c r="C3" s="83" t="str">
        <f>Projet_Adresse</f>
        <v>--</v>
      </c>
      <c r="D3" s="83"/>
      <c r="E3" s="83"/>
      <c r="F3" s="83"/>
      <c r="G3" s="83"/>
      <c r="H3" s="83"/>
      <c r="J3" s="15" t="s">
        <v>2</v>
      </c>
      <c r="K3" s="84" t="str">
        <f>Projet_Conducteur</f>
        <v>--</v>
      </c>
      <c r="L3" s="84"/>
    </row>
    <row r="4" spans="2:12" x14ac:dyDescent="0.25">
      <c r="C4" s="83" t="str">
        <f>Projet_CP</f>
        <v>--</v>
      </c>
      <c r="D4" s="83"/>
      <c r="E4" s="83"/>
      <c r="F4" s="83"/>
      <c r="G4" s="83"/>
      <c r="H4" s="83"/>
    </row>
    <row r="5" spans="2:12" ht="23.25" x14ac:dyDescent="0.35">
      <c r="B5" s="4" t="s">
        <v>37</v>
      </c>
    </row>
    <row r="6" spans="2:12" s="5" customFormat="1" ht="20.25" customHeight="1" x14ac:dyDescent="0.3">
      <c r="C6" s="5" t="s">
        <v>5</v>
      </c>
      <c r="D6" s="16" t="s">
        <v>40</v>
      </c>
      <c r="E6" s="5" t="s">
        <v>19</v>
      </c>
      <c r="F6" s="5" t="s">
        <v>20</v>
      </c>
      <c r="G6" s="5" t="s">
        <v>21</v>
      </c>
      <c r="H6" s="5" t="s">
        <v>22</v>
      </c>
      <c r="I6" s="5" t="s">
        <v>41</v>
      </c>
      <c r="J6" s="5" t="s">
        <v>6</v>
      </c>
      <c r="K6" s="5" t="s">
        <v>24</v>
      </c>
      <c r="L6" s="5" t="s">
        <v>36</v>
      </c>
    </row>
    <row r="7" spans="2:12" s="5" customFormat="1" ht="18.75" x14ac:dyDescent="0.3">
      <c r="C7" s="56"/>
      <c r="D7" s="57"/>
      <c r="E7" s="56"/>
      <c r="F7" s="56"/>
      <c r="G7" s="56"/>
      <c r="H7" s="56"/>
      <c r="I7" s="58"/>
      <c r="J7" s="59"/>
      <c r="K7" s="14" t="s">
        <v>33</v>
      </c>
    </row>
    <row r="8" spans="2:12" s="5" customFormat="1" ht="18.75" x14ac:dyDescent="0.3">
      <c r="D8" s="16"/>
      <c r="J8" s="13"/>
      <c r="K8" s="14" t="s">
        <v>34</v>
      </c>
    </row>
    <row r="9" spans="2:12" s="5" customFormat="1" ht="18.75" x14ac:dyDescent="0.3">
      <c r="C9" s="56"/>
      <c r="D9" s="57"/>
      <c r="E9" s="56"/>
      <c r="F9" s="56"/>
      <c r="G9" s="56"/>
      <c r="H9" s="56"/>
      <c r="I9" s="56"/>
      <c r="J9" s="61"/>
      <c r="K9" s="14" t="s">
        <v>35</v>
      </c>
    </row>
    <row r="10" spans="2:12" s="5" customFormat="1" ht="18.75" x14ac:dyDescent="0.3">
      <c r="D10" s="16"/>
      <c r="J10" s="13"/>
      <c r="K10" s="14"/>
    </row>
    <row r="12" spans="2:12" ht="23.25" x14ac:dyDescent="0.35">
      <c r="B12" s="4" t="s">
        <v>31</v>
      </c>
    </row>
    <row r="13" spans="2:12" s="5" customFormat="1" ht="20.25" customHeight="1" x14ac:dyDescent="0.3">
      <c r="B13" s="5" t="s">
        <v>7</v>
      </c>
      <c r="C13" s="5" t="s">
        <v>5</v>
      </c>
      <c r="D13" s="16" t="s">
        <v>40</v>
      </c>
      <c r="E13" s="5" t="s">
        <v>19</v>
      </c>
      <c r="F13" s="5" t="s">
        <v>20</v>
      </c>
      <c r="G13" s="5" t="s">
        <v>21</v>
      </c>
      <c r="H13" s="5" t="s">
        <v>22</v>
      </c>
      <c r="I13" s="5" t="s">
        <v>41</v>
      </c>
      <c r="J13" s="5" t="s">
        <v>6</v>
      </c>
      <c r="K13" s="5" t="s">
        <v>42</v>
      </c>
      <c r="L13" s="5" t="s">
        <v>36</v>
      </c>
    </row>
    <row r="14" spans="2:12" s="5" customFormat="1" ht="18.75" x14ac:dyDescent="0.3">
      <c r="B14" s="56"/>
      <c r="C14" s="56"/>
      <c r="D14" s="60"/>
      <c r="E14" s="56"/>
      <c r="F14" s="56"/>
      <c r="G14" s="56"/>
      <c r="H14" s="56"/>
      <c r="I14" s="58"/>
      <c r="J14" s="59"/>
      <c r="K14" s="14" t="s">
        <v>33</v>
      </c>
    </row>
    <row r="15" spans="2:12" s="5" customFormat="1" ht="18.75" x14ac:dyDescent="0.3">
      <c r="J15" s="13"/>
      <c r="K15" s="14" t="s">
        <v>34</v>
      </c>
    </row>
    <row r="16" spans="2:12" s="5" customFormat="1" ht="18.75" x14ac:dyDescent="0.3">
      <c r="B16" s="56"/>
      <c r="C16" s="56"/>
      <c r="D16" s="60"/>
      <c r="E16" s="56"/>
      <c r="F16" s="56"/>
      <c r="G16" s="56"/>
      <c r="H16" s="56"/>
      <c r="I16" s="56"/>
      <c r="J16" s="61"/>
      <c r="K16" s="14" t="s">
        <v>35</v>
      </c>
    </row>
    <row r="17" spans="2:12" s="5" customFormat="1" ht="18.75" x14ac:dyDescent="0.3">
      <c r="J17" s="13"/>
      <c r="K17" s="14"/>
    </row>
    <row r="19" spans="2:12" ht="23.25" x14ac:dyDescent="0.35">
      <c r="B19" s="4" t="s">
        <v>32</v>
      </c>
    </row>
    <row r="20" spans="2:12" ht="20.25" customHeight="1" x14ac:dyDescent="0.3">
      <c r="B20" s="5" t="s">
        <v>7</v>
      </c>
      <c r="C20" s="5" t="s">
        <v>5</v>
      </c>
      <c r="D20" s="16" t="s">
        <v>40</v>
      </c>
      <c r="E20" s="5" t="s">
        <v>19</v>
      </c>
      <c r="F20" s="5" t="s">
        <v>20</v>
      </c>
      <c r="G20" s="5" t="s">
        <v>21</v>
      </c>
      <c r="H20" s="5" t="s">
        <v>22</v>
      </c>
      <c r="I20" s="5" t="s">
        <v>41</v>
      </c>
      <c r="J20" s="5" t="s">
        <v>6</v>
      </c>
      <c r="K20" s="5" t="s">
        <v>42</v>
      </c>
      <c r="L20" s="5" t="s">
        <v>36</v>
      </c>
    </row>
    <row r="21" spans="2:12" ht="18.75" x14ac:dyDescent="0.3">
      <c r="B21" s="5"/>
      <c r="C21" s="5"/>
      <c r="D21" s="5"/>
      <c r="E21" s="5"/>
      <c r="F21" s="5"/>
      <c r="G21" s="5"/>
      <c r="H21" s="5"/>
      <c r="I21" s="5"/>
      <c r="J21" s="13"/>
      <c r="K21" s="14" t="s">
        <v>33</v>
      </c>
      <c r="L21" s="5"/>
    </row>
    <row r="22" spans="2:12" ht="18.75" x14ac:dyDescent="0.3">
      <c r="B22" s="5"/>
      <c r="C22" s="5"/>
      <c r="D22" s="5"/>
      <c r="E22" s="5"/>
      <c r="F22" s="5"/>
      <c r="G22" s="5"/>
      <c r="H22" s="5"/>
      <c r="I22" s="5"/>
      <c r="J22" s="13"/>
      <c r="K22" s="14" t="s">
        <v>34</v>
      </c>
      <c r="L22" s="5"/>
    </row>
    <row r="23" spans="2:12" ht="18.75" x14ac:dyDescent="0.3">
      <c r="B23" s="5"/>
      <c r="C23" s="5"/>
      <c r="D23" s="5"/>
      <c r="E23" s="5"/>
      <c r="F23" s="5"/>
      <c r="G23" s="5"/>
      <c r="H23" s="5"/>
      <c r="I23" s="5"/>
      <c r="J23" s="13"/>
      <c r="K23" s="14" t="s">
        <v>35</v>
      </c>
      <c r="L23" s="5"/>
    </row>
    <row r="24" spans="2:12" ht="18.75" x14ac:dyDescent="0.3">
      <c r="B24" s="5"/>
      <c r="C24" s="5"/>
      <c r="D24" s="5"/>
      <c r="E24" s="5"/>
      <c r="F24" s="5"/>
      <c r="G24" s="5"/>
      <c r="H24" s="5"/>
      <c r="I24" s="5"/>
      <c r="J24" s="13"/>
      <c r="K24" s="14"/>
      <c r="L24" s="5"/>
    </row>
    <row r="25" spans="2:12" ht="18.75" x14ac:dyDescent="0.3">
      <c r="B25" s="5"/>
      <c r="C25" s="5"/>
      <c r="D25" s="5"/>
      <c r="G25" s="5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0" min="1" max="11" man="1"/>
    <brk id="17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2" t="str">
        <f>Projet_ref</f>
        <v>--</v>
      </c>
      <c r="C4" s="82"/>
      <c r="D4" s="82"/>
      <c r="E4" s="82"/>
      <c r="F4" s="82"/>
      <c r="G4" s="82"/>
    </row>
    <row r="5" spans="2:7" x14ac:dyDescent="0.25">
      <c r="B5" s="83" t="str">
        <f>Projet_Adresse</f>
        <v>--</v>
      </c>
      <c r="C5" s="83"/>
      <c r="D5" s="83"/>
      <c r="E5" s="83"/>
      <c r="F5" s="83"/>
      <c r="G5" s="83"/>
    </row>
    <row r="6" spans="2:7" x14ac:dyDescent="0.25">
      <c r="B6" s="83" t="str">
        <f>Projet_CP</f>
        <v>--</v>
      </c>
      <c r="C6" s="83"/>
      <c r="D6" s="83"/>
      <c r="E6" s="83"/>
      <c r="F6" s="83"/>
      <c r="G6" s="83"/>
    </row>
    <row r="8" spans="2:7" ht="23.25" x14ac:dyDescent="0.35">
      <c r="B8" s="4" t="s">
        <v>8</v>
      </c>
    </row>
    <row r="9" spans="2:7" s="5" customFormat="1" ht="20.25" customHeight="1" x14ac:dyDescent="0.3">
      <c r="B9" s="5" t="s">
        <v>50</v>
      </c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C10" s="56"/>
      <c r="D10" s="56"/>
      <c r="E10" s="59"/>
      <c r="F10" s="14" t="s">
        <v>33</v>
      </c>
    </row>
    <row r="11" spans="2:7" s="5" customFormat="1" ht="18.75" x14ac:dyDescent="0.3">
      <c r="B11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1" s="13"/>
      <c r="F11" s="14" t="s">
        <v>34</v>
      </c>
    </row>
    <row r="12" spans="2:7" s="5" customFormat="1" ht="18.75" x14ac:dyDescent="0.3">
      <c r="B12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2" s="13"/>
      <c r="F12" s="14" t="s">
        <v>35</v>
      </c>
    </row>
    <row r="13" spans="2:7" s="5" customFormat="1" ht="18.75" x14ac:dyDescent="0.3">
      <c r="B13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36</v>
      </c>
    </row>
    <row r="17" spans="2:7" s="5" customFormat="1" ht="18.75" x14ac:dyDescent="0.3">
      <c r="B17" s="56"/>
      <c r="C17" s="56"/>
      <c r="D17" s="56"/>
      <c r="E17" s="59">
        <v>1</v>
      </c>
      <c r="F17" s="14" t="s">
        <v>33</v>
      </c>
    </row>
    <row r="18" spans="2:7" s="5" customFormat="1" ht="18.75" x14ac:dyDescent="0.3">
      <c r="E18" s="13"/>
      <c r="F18" s="14" t="s">
        <v>34</v>
      </c>
    </row>
    <row r="19" spans="2:7" s="5" customFormat="1" ht="18.75" x14ac:dyDescent="0.3">
      <c r="E19" s="13"/>
      <c r="F19" s="14" t="s">
        <v>35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36</v>
      </c>
    </row>
    <row r="24" spans="2:7" ht="18.75" x14ac:dyDescent="0.3">
      <c r="B24" s="56"/>
      <c r="C24" s="56"/>
      <c r="D24" s="56"/>
      <c r="E24" s="59"/>
      <c r="F24" s="14" t="s">
        <v>33</v>
      </c>
      <c r="G24" s="5"/>
    </row>
    <row r="25" spans="2:7" ht="18.75" x14ac:dyDescent="0.3">
      <c r="B25" s="5"/>
      <c r="C25" s="5"/>
      <c r="D25" s="5"/>
      <c r="E25" s="13"/>
      <c r="F25" s="14" t="s">
        <v>34</v>
      </c>
      <c r="G25" s="5"/>
    </row>
    <row r="26" spans="2:7" ht="18.75" x14ac:dyDescent="0.3">
      <c r="B26" s="5"/>
      <c r="C26" s="5"/>
      <c r="D26" s="5"/>
      <c r="E26" s="13"/>
      <c r="F26" s="14" t="s">
        <v>35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39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2" t="str">
        <f>Projet_ref</f>
        <v>--</v>
      </c>
      <c r="C4" s="82"/>
      <c r="D4" s="82"/>
      <c r="E4" s="82"/>
      <c r="F4" s="82"/>
      <c r="G4" s="82"/>
    </row>
    <row r="5" spans="2:7" x14ac:dyDescent="0.25">
      <c r="B5" s="83" t="str">
        <f>Projet_Adresse</f>
        <v>--</v>
      </c>
      <c r="C5" s="83"/>
      <c r="D5" s="83"/>
      <c r="E5" s="83"/>
      <c r="F5" s="83"/>
      <c r="G5" s="83"/>
    </row>
    <row r="6" spans="2:7" x14ac:dyDescent="0.25">
      <c r="B6" s="83" t="str">
        <f>Projet_CP</f>
        <v>--</v>
      </c>
      <c r="C6" s="83"/>
      <c r="D6" s="83"/>
      <c r="E6" s="83"/>
      <c r="F6" s="83"/>
      <c r="G6" s="83"/>
    </row>
    <row r="8" spans="2:7" ht="23.25" x14ac:dyDescent="0.35">
      <c r="B8" s="4" t="s">
        <v>37</v>
      </c>
    </row>
    <row r="9" spans="2:7" s="5" customFormat="1" ht="20.25" customHeight="1" x14ac:dyDescent="0.3"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E10" s="13"/>
      <c r="F10" s="14" t="s">
        <v>33</v>
      </c>
    </row>
    <row r="11" spans="2:7" s="5" customFormat="1" ht="18.75" x14ac:dyDescent="0.3">
      <c r="C11" s="56"/>
      <c r="D11" s="56"/>
      <c r="E11" s="61"/>
      <c r="F11" s="14" t="s">
        <v>34</v>
      </c>
    </row>
    <row r="12" spans="2:7" s="5" customFormat="1" ht="18.75" x14ac:dyDescent="0.3">
      <c r="E12" s="13"/>
      <c r="F12" s="14" t="s">
        <v>35</v>
      </c>
    </row>
    <row r="13" spans="2:7" s="5" customFormat="1" ht="18.75" x14ac:dyDescent="0.3"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36</v>
      </c>
    </row>
    <row r="17" spans="2:7" s="5" customFormat="1" ht="18.75" x14ac:dyDescent="0.3">
      <c r="B17" s="56"/>
      <c r="C17" s="56"/>
      <c r="D17" s="56"/>
      <c r="E17" s="61"/>
      <c r="F17" s="14" t="s">
        <v>33</v>
      </c>
    </row>
    <row r="18" spans="2:7" s="5" customFormat="1" ht="18.75" x14ac:dyDescent="0.3">
      <c r="E18" s="13"/>
      <c r="F18" s="14" t="s">
        <v>34</v>
      </c>
    </row>
    <row r="19" spans="2:7" s="5" customFormat="1" ht="18.75" x14ac:dyDescent="0.3">
      <c r="E19" s="13"/>
      <c r="F19" s="14" t="s">
        <v>35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36</v>
      </c>
    </row>
    <row r="24" spans="2:7" ht="18.75" x14ac:dyDescent="0.3">
      <c r="B24" s="5"/>
      <c r="C24" s="5"/>
      <c r="D24" s="5"/>
      <c r="E24" s="13"/>
      <c r="F24" s="14" t="s">
        <v>33</v>
      </c>
      <c r="G24" s="5"/>
    </row>
    <row r="25" spans="2:7" ht="18.75" x14ac:dyDescent="0.3">
      <c r="B25" s="5"/>
      <c r="C25" s="5"/>
      <c r="D25" s="5"/>
      <c r="E25" s="13"/>
      <c r="F25" s="14" t="s">
        <v>34</v>
      </c>
      <c r="G25" s="5"/>
    </row>
    <row r="26" spans="2:7" ht="18.75" x14ac:dyDescent="0.3">
      <c r="B26" s="5"/>
      <c r="C26" s="5"/>
      <c r="D26" s="5"/>
      <c r="E26" s="13"/>
      <c r="F26" s="14" t="s">
        <v>35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3" sqref="J13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6" t="s">
        <v>40</v>
      </c>
      <c r="E3" s="6" t="s">
        <v>6</v>
      </c>
    </row>
    <row r="4" spans="2:5" x14ac:dyDescent="0.25">
      <c r="B4" s="62"/>
      <c r="C4" s="62"/>
      <c r="D4" s="63"/>
      <c r="E4" s="63"/>
    </row>
    <row r="5" spans="2:5" x14ac:dyDescent="0.25">
      <c r="B5" s="62"/>
      <c r="C5" s="62"/>
      <c r="D5" s="63"/>
      <c r="E5" s="63"/>
    </row>
    <row r="6" spans="2:5" x14ac:dyDescent="0.25">
      <c r="B6" s="62"/>
      <c r="C6" s="62"/>
      <c r="D6" s="63"/>
      <c r="E6" s="63"/>
    </row>
    <row r="7" spans="2:5" x14ac:dyDescent="0.25">
      <c r="B7" s="62"/>
      <c r="C7" s="62"/>
      <c r="D7" s="63"/>
      <c r="E7" s="63"/>
    </row>
    <row r="8" spans="2:5" x14ac:dyDescent="0.25">
      <c r="B8" s="62"/>
      <c r="C8" s="62"/>
      <c r="D8" s="63"/>
      <c r="E8" s="63"/>
    </row>
    <row r="9" spans="2:5" x14ac:dyDescent="0.25">
      <c r="B9" s="62"/>
      <c r="C9" s="62"/>
      <c r="D9" s="63"/>
      <c r="E9" s="63"/>
    </row>
    <row r="10" spans="2:5" x14ac:dyDescent="0.25">
      <c r="B10" s="62"/>
      <c r="C10" s="62"/>
      <c r="D10" s="63"/>
      <c r="E10" s="63"/>
    </row>
    <row r="11" spans="2:5" x14ac:dyDescent="0.25">
      <c r="B11" s="62"/>
      <c r="C11" s="62"/>
      <c r="D11" s="63"/>
      <c r="E11" s="63"/>
    </row>
    <row r="12" spans="2:5" x14ac:dyDescent="0.25">
      <c r="B12" s="62"/>
      <c r="C12" s="62"/>
      <c r="D12" s="63"/>
      <c r="E12" s="63"/>
    </row>
    <row r="13" spans="2:5" x14ac:dyDescent="0.25">
      <c r="B13" s="62"/>
      <c r="C13" s="62"/>
      <c r="D13" s="63"/>
      <c r="E13" s="63"/>
    </row>
    <row r="14" spans="2:5" x14ac:dyDescent="0.25">
      <c r="B14" s="62"/>
      <c r="C14" s="62"/>
      <c r="D14" s="63"/>
      <c r="E14" s="6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3"/>
    </row>
    <row r="4" spans="2:9" ht="15.75" thickBot="1" x14ac:dyDescent="0.3"/>
    <row r="5" spans="2:9" ht="34.5" thickBot="1" x14ac:dyDescent="0.55000000000000004">
      <c r="B5" s="85" t="str">
        <f>Projet_ref</f>
        <v>--</v>
      </c>
      <c r="C5" s="86"/>
    </row>
    <row r="6" spans="2:9" ht="15.75" thickBot="1" x14ac:dyDescent="0.3">
      <c r="B6" s="87" t="str">
        <f>Projet_Adresse</f>
        <v>--</v>
      </c>
      <c r="C6" s="88"/>
      <c r="E6" s="2" t="s">
        <v>1</v>
      </c>
      <c r="F6" s="89" t="str">
        <f>Projet_Suivi_par</f>
        <v>--</v>
      </c>
      <c r="G6" s="90"/>
    </row>
    <row r="7" spans="2:9" ht="19.5" thickBot="1" x14ac:dyDescent="0.35">
      <c r="B7" s="91" t="str">
        <f>Projet_CP</f>
        <v>--</v>
      </c>
      <c r="C7" s="92"/>
      <c r="E7" s="2" t="s">
        <v>2</v>
      </c>
      <c r="F7" s="93" t="str">
        <f>Projet_Conducteur</f>
        <v>--</v>
      </c>
      <c r="G7" s="94"/>
    </row>
    <row r="9" spans="2:9" ht="23.25" x14ac:dyDescent="0.35">
      <c r="B9" s="4" t="s">
        <v>25</v>
      </c>
    </row>
    <row r="10" spans="2:9" ht="18.75" x14ac:dyDescent="0.3">
      <c r="B10" s="5" t="s">
        <v>7</v>
      </c>
      <c r="C10" s="5" t="s">
        <v>19</v>
      </c>
      <c r="D10" s="5" t="s">
        <v>21</v>
      </c>
      <c r="E10" s="5" t="s">
        <v>43</v>
      </c>
      <c r="F10" s="40" t="s">
        <v>26</v>
      </c>
      <c r="G10" s="5"/>
      <c r="H10" s="5"/>
      <c r="I10" s="5"/>
    </row>
    <row r="11" spans="2:9" ht="18.75" x14ac:dyDescent="0.3">
      <c r="B11" s="56"/>
      <c r="C11" s="56"/>
      <c r="D11" s="56"/>
      <c r="E11" s="56"/>
      <c r="F11" s="58"/>
      <c r="G11" s="5"/>
      <c r="H11" s="5"/>
      <c r="I11" s="5"/>
    </row>
    <row r="12" spans="2:9" ht="18.75" x14ac:dyDescent="0.3">
      <c r="B12" s="5"/>
      <c r="C12" s="5"/>
      <c r="D12" s="5"/>
      <c r="E12" s="5"/>
      <c r="F12" s="40"/>
      <c r="G12" s="5"/>
      <c r="H12" s="5"/>
      <c r="I12" s="5"/>
    </row>
    <row r="13" spans="2:9" ht="18.75" x14ac:dyDescent="0.3">
      <c r="B13" s="5"/>
      <c r="C13" s="5"/>
      <c r="D13" s="5"/>
      <c r="E13" s="5"/>
      <c r="F13" s="40"/>
    </row>
    <row r="14" spans="2:9" ht="18.75" x14ac:dyDescent="0.3">
      <c r="B14" s="5"/>
      <c r="C14" s="5"/>
      <c r="D14" s="5"/>
      <c r="E14" s="5"/>
      <c r="F14" s="40"/>
    </row>
    <row r="15" spans="2:9" ht="18.75" x14ac:dyDescent="0.3">
      <c r="B15" s="5"/>
      <c r="C15" s="5"/>
      <c r="D15" s="5"/>
      <c r="E15" s="5"/>
      <c r="F15" s="40"/>
    </row>
    <row r="16" spans="2:9" ht="18.75" x14ac:dyDescent="0.3">
      <c r="B16" s="5"/>
      <c r="C16" s="5"/>
      <c r="D16" s="5"/>
      <c r="E16" s="5"/>
    </row>
    <row r="17" spans="2:5" ht="18.75" x14ac:dyDescent="0.3">
      <c r="B17" s="5"/>
      <c r="C17" s="5"/>
      <c r="D17" s="5"/>
      <c r="E17" s="5"/>
    </row>
    <row r="18" spans="2:5" ht="18.75" x14ac:dyDescent="0.3">
      <c r="B18" s="5"/>
      <c r="C18" s="5"/>
      <c r="D18" s="5"/>
      <c r="E18" s="5"/>
    </row>
    <row r="19" spans="2:5" ht="18.75" x14ac:dyDescent="0.3">
      <c r="B19" s="5"/>
      <c r="C19" s="5"/>
      <c r="D19" s="5"/>
      <c r="E19" s="5"/>
    </row>
    <row r="20" spans="2:5" ht="18.75" x14ac:dyDescent="0.3">
      <c r="B20" s="5"/>
      <c r="C20" s="5"/>
      <c r="D20" s="5"/>
      <c r="E20" s="5"/>
    </row>
    <row r="21" spans="2:5" ht="18.75" x14ac:dyDescent="0.3">
      <c r="B21" s="5"/>
      <c r="C21" s="5"/>
      <c r="D21" s="5"/>
      <c r="E21" s="5"/>
    </row>
    <row r="22" spans="2:5" ht="18.75" x14ac:dyDescent="0.3">
      <c r="B22" s="5"/>
      <c r="C22" s="5"/>
      <c r="D22" s="5"/>
      <c r="E22" s="5"/>
    </row>
    <row r="23" spans="2:5" ht="18.75" x14ac:dyDescent="0.3">
      <c r="B23" s="5"/>
      <c r="C23" s="5"/>
      <c r="D23" s="5"/>
      <c r="E23" s="5"/>
    </row>
    <row r="24" spans="2:5" ht="18.75" x14ac:dyDescent="0.3">
      <c r="B24" s="5"/>
      <c r="C24" s="5"/>
      <c r="D24" s="5"/>
      <c r="E24" s="5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5" t="s">
        <v>29</v>
      </c>
      <c r="D4" s="5" t="s">
        <v>23</v>
      </c>
      <c r="E4" s="5"/>
      <c r="F4" s="5"/>
    </row>
    <row r="5" spans="3:6" ht="18.75" x14ac:dyDescent="0.3">
      <c r="C5" s="5"/>
      <c r="D5" s="5" t="str">
        <f>IF(T_Question[[#This Row],[Questions]]="","","non")</f>
        <v/>
      </c>
      <c r="E5" s="5"/>
      <c r="F5" s="5"/>
    </row>
    <row r="6" spans="3:6" ht="18.75" x14ac:dyDescent="0.3">
      <c r="C6" s="5"/>
      <c r="D6" s="5" t="str">
        <f>IF(T_Question[[#This Row],[Questions]]="","","non")</f>
        <v/>
      </c>
      <c r="E6" s="5"/>
      <c r="F6" s="5"/>
    </row>
    <row r="13" spans="3:6" ht="18.75" x14ac:dyDescent="0.3">
      <c r="C13" s="5" t="s">
        <v>30</v>
      </c>
      <c r="D13" s="5" t="s">
        <v>23</v>
      </c>
      <c r="E13" s="5"/>
      <c r="F13" s="5"/>
    </row>
    <row r="14" spans="3:6" ht="18.75" x14ac:dyDescent="0.3">
      <c r="C14" s="5"/>
      <c r="D14" s="5" t="str">
        <f>IF(Tableau_Pense_bete[[#This Row],[Penses Bête]]="","","non")</f>
        <v/>
      </c>
      <c r="E14" s="5"/>
      <c r="F14" s="5"/>
    </row>
    <row r="15" spans="3:6" ht="18.75" x14ac:dyDescent="0.3">
      <c r="C15" s="5"/>
      <c r="D15" s="5" t="str">
        <f>IF(Tableau_Pense_bete[[#This Row],[Penses Bête]]="","","non")</f>
        <v/>
      </c>
      <c r="E15" s="5"/>
      <c r="F15" s="5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5" t="str">
        <f>Projet_ref</f>
        <v>--</v>
      </c>
      <c r="C3" s="98" t="s">
        <v>9</v>
      </c>
      <c r="D3" s="99"/>
    </row>
    <row r="4" spans="2:4" ht="12.75" customHeight="1" thickBot="1" x14ac:dyDescent="0.3">
      <c r="B4" s="96"/>
      <c r="C4" s="9" t="s">
        <v>1</v>
      </c>
      <c r="D4" s="7" t="str">
        <f>Projet_Suivi_par</f>
        <v>--</v>
      </c>
    </row>
    <row r="5" spans="2:4" ht="15.75" customHeight="1" thickBot="1" x14ac:dyDescent="0.35">
      <c r="B5" s="97"/>
      <c r="C5" s="9" t="s">
        <v>2</v>
      </c>
      <c r="D5" s="8" t="str">
        <f>Projet_Conducteur</f>
        <v>--</v>
      </c>
    </row>
    <row r="6" spans="2:4" ht="6" customHeight="1" thickBot="1" x14ac:dyDescent="0.3"/>
    <row r="7" spans="2:4" ht="132" customHeight="1" thickBot="1" x14ac:dyDescent="0.3">
      <c r="B7" s="95" t="str">
        <f>Projet_ref</f>
        <v>--</v>
      </c>
      <c r="C7" s="98" t="s">
        <v>9</v>
      </c>
      <c r="D7" s="99"/>
    </row>
    <row r="8" spans="2:4" ht="12.75" customHeight="1" thickBot="1" x14ac:dyDescent="0.3">
      <c r="B8" s="96"/>
      <c r="C8" s="9" t="s">
        <v>1</v>
      </c>
      <c r="D8" s="7" t="str">
        <f>Projet_Suivi_par</f>
        <v>--</v>
      </c>
    </row>
    <row r="9" spans="2:4" ht="15.75" customHeight="1" thickBot="1" x14ac:dyDescent="0.35">
      <c r="B9" s="97"/>
      <c r="C9" s="9" t="s">
        <v>2</v>
      </c>
      <c r="D9" s="8" t="str">
        <f>Projet_Conducteur</f>
        <v>--</v>
      </c>
    </row>
    <row r="10" spans="2:4" ht="6" customHeight="1" thickBot="1" x14ac:dyDescent="0.3"/>
    <row r="11" spans="2:4" ht="132" customHeight="1" thickBot="1" x14ac:dyDescent="0.3">
      <c r="B11" s="95" t="str">
        <f>Projet_ref</f>
        <v>--</v>
      </c>
      <c r="C11" s="98" t="s">
        <v>9</v>
      </c>
      <c r="D11" s="99"/>
    </row>
    <row r="12" spans="2:4" ht="12.75" customHeight="1" thickBot="1" x14ac:dyDescent="0.3">
      <c r="B12" s="96"/>
      <c r="C12" s="9" t="s">
        <v>1</v>
      </c>
      <c r="D12" s="7" t="str">
        <f>Projet_Suivi_par</f>
        <v>--</v>
      </c>
    </row>
    <row r="13" spans="2:4" ht="15.75" customHeight="1" thickBot="1" x14ac:dyDescent="0.35">
      <c r="B13" s="97"/>
      <c r="C13" s="9" t="s">
        <v>2</v>
      </c>
      <c r="D13" s="8" t="str">
        <f>Projet_Conducteur</f>
        <v>--</v>
      </c>
    </row>
    <row r="14" spans="2:4" ht="6" customHeight="1" thickBot="1" x14ac:dyDescent="0.3"/>
    <row r="15" spans="2:4" ht="132" customHeight="1" thickBot="1" x14ac:dyDescent="0.3">
      <c r="B15" s="95" t="str">
        <f>Projet_ref</f>
        <v>--</v>
      </c>
      <c r="C15" s="98" t="s">
        <v>9</v>
      </c>
      <c r="D15" s="99"/>
    </row>
    <row r="16" spans="2:4" ht="12.75" customHeight="1" thickBot="1" x14ac:dyDescent="0.3">
      <c r="B16" s="96"/>
      <c r="C16" s="9" t="s">
        <v>1</v>
      </c>
      <c r="D16" s="7" t="str">
        <f>Projet_Suivi_par</f>
        <v>--</v>
      </c>
    </row>
    <row r="17" spans="2:4" ht="15.75" customHeight="1" thickBot="1" x14ac:dyDescent="0.35">
      <c r="B17" s="97"/>
      <c r="C17" s="9" t="s">
        <v>2</v>
      </c>
      <c r="D17" s="8" t="str">
        <f>Projet_Conducteur</f>
        <v>--</v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74</vt:i4>
      </vt:variant>
    </vt:vector>
  </HeadingPairs>
  <TitlesOfParts>
    <vt:vector size="84" baseType="lpstr">
      <vt:lpstr>PARAMETRES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C_COMPTES</vt:lpstr>
      <vt:lpstr>C_PROFILES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2024-06-03T21:36:00Z</dcterms:modified>
</cp:coreProperties>
</file>