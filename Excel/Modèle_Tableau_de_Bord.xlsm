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Z:\3-METHODE\FICHES DE POSTE\GENERAL\CHECK LISTE CHANTIER\"/>
    </mc:Choice>
  </mc:AlternateContent>
  <xr:revisionPtr revIDLastSave="0" documentId="13_ncr:1_{CC6408D6-B5C4-49B7-8A66-C07D0E29C25E}" xr6:coauthVersionLast="47" xr6:coauthVersionMax="47" xr10:uidLastSave="{00000000-0000-0000-0000-000000000000}"/>
  <bookViews>
    <workbookView xWindow="-28920" yWindow="-120" windowWidth="29040" windowHeight="15840" tabRatio="683" activeTab="6" xr2:uid="{00000000-000D-0000-FFFF-FFFF00000000}"/>
  </bookViews>
  <sheets>
    <sheet name="ETAPES CHANTIER" sheetId="1" r:id="rId1"/>
    <sheet name="QUINCAILLERIE" sheetId="2" r:id="rId2"/>
    <sheet name="ZINGUERIE" sheetId="9" r:id="rId3"/>
    <sheet name="PREPA" sheetId="8" r:id="rId4"/>
    <sheet name="Etiquettes" sheetId="3" r:id="rId5"/>
    <sheet name="Dimension Murs et Caisson" sheetId="4" state="hidden" r:id="rId6"/>
    <sheet name="A TRAITER" sheetId="6" r:id="rId7"/>
    <sheet name="Questions et  Penses Bête" sheetId="7" r:id="rId8"/>
    <sheet name="ELEMENTS FERRURES" sheetId="10" state="hidden" r:id="rId9"/>
  </sheets>
  <functionGroups builtInGroupCount="19"/>
  <definedNames>
    <definedName name="_xlnm._FilterDatabase" localSheetId="0" hidden="1">'ETAPES CHANTIER'!$C$11:$N$16</definedName>
    <definedName name="A_TRAITER_SEMA">'A TRAITER'!$B$11</definedName>
    <definedName name="APPRO_CHANTIER_SEMA" localSheetId="3">#REF!</definedName>
    <definedName name="APPRO_CHANTIER_SEMA" localSheetId="2">#REF!</definedName>
    <definedName name="APPRO_CHANTIER_SEMA">#REF!</definedName>
    <definedName name="DEBIT_MANUEL_SEMA" localSheetId="3">#REF!</definedName>
    <definedName name="DEBIT_MANUEL_SEMA" localSheetId="2">#REF!</definedName>
    <definedName name="DEBIT_MANUEL_SEMA">#REF!</definedName>
    <definedName name="Dimension_Hauteur_Max_Camion">'Dimension Murs et Caisson'!$E$3</definedName>
    <definedName name="Dimension_Hauteur_Max_Remorque">'Dimension Murs et Caisson'!$E$4</definedName>
    <definedName name="Dimension_Largeur_Max_Camion">'Dimension Murs et Caisson'!$D$3</definedName>
    <definedName name="Dimension_Largeur_Max_Remorque">'Dimension Murs et Caisson'!$D$4</definedName>
    <definedName name="Dimension_Longueur_Max_Camion">'Dimension Murs et Caisson'!$C$3</definedName>
    <definedName name="Dimension_Longueur_Max_Remorque">'Dimension Murs et Caisson'!$C$4</definedName>
    <definedName name="Dimension_Murs_et_Caisson_Données_SEMA">'Dimension Murs et Caisson'!$B$7</definedName>
    <definedName name="Dimension_Murs_et_Caisson_PAQUET_Epaisseur" localSheetId="3">T_Dimension_Murs_et_Caisson[Epaisseur]</definedName>
    <definedName name="Dimension_Murs_et_Caisson_PAQUET_Epaisseur" localSheetId="2">T_Dimension_Murs_et_Caisson[Epaisseur]</definedName>
    <definedName name="Dimension_Murs_et_Caisson_PAQUET_Epaisseur">T_Dimension_Murs_et_Caisson[Epaisseur]</definedName>
    <definedName name="Dimension_Murs_et_Caisson_PAQUET_Largeur" localSheetId="3">T_Dimension_Murs_et_Caisson[Largeur]</definedName>
    <definedName name="Dimension_Murs_et_Caisson_PAQUET_Largeur" localSheetId="2">T_Dimension_Murs_et_Caisson[Largeur]</definedName>
    <definedName name="Dimension_Murs_et_Caisson_PAQUET_Largeur">T_Dimension_Murs_et_Caisson[Largeur]</definedName>
    <definedName name="Dimension_Murs_et_Caisson_PAQUET_Longueur" localSheetId="3">T_Dimension_Murs_et_Caisson[Longueur]</definedName>
    <definedName name="Dimension_Murs_et_Caisson_PAQUET_Longueur" localSheetId="2">T_Dimension_Murs_et_Caisson[Longueur]</definedName>
    <definedName name="Dimension_Murs_et_Caisson_PAQUET_Longueur">T_Dimension_Murs_et_Caisson[Longueur]</definedName>
    <definedName name="ELEMENTS_FERRURES">T_ELEMENTS_FERRURES[Element de]</definedName>
    <definedName name="ETAPE_CHANTIER_PREMIER_LIGNE">'ETAPES CHANTIER'!$C$15:$AA$15</definedName>
    <definedName name="ETAPES_CHANTIER_Tableau">'ETAPES CHANTIER'!$C$14:$AA$16</definedName>
    <definedName name="_xlnm.Print_Titles" localSheetId="0">'ETAPES CHANTIER'!$3:$11</definedName>
    <definedName name="_xlnm.Print_Titles" localSheetId="3">PREPA!$2:$4</definedName>
    <definedName name="_xlnm.Print_Titles" localSheetId="1">QUINCAILLERIE!$2:$6</definedName>
    <definedName name="_xlnm.Print_Titles" localSheetId="2">ZINGUERIE!$2:$6</definedName>
    <definedName name="Liste_Paquets">'ETAPES CHANTIER'!$C$11:$C$16</definedName>
    <definedName name="LISTE_SEMA">'ETAPES CHANTIER'!$C$15</definedName>
    <definedName name="Pense_bete_SEMA">'Questions et  Penses Bête'!$C$14</definedName>
    <definedName name="PREMIER_LIGNE_PREPA_ATELIER">'ETAPES CHANTIER'!$F$15</definedName>
    <definedName name="PREMIER_LIGNE_PREPA_CHANTIER">'ETAPES CHANTIER'!$R$15</definedName>
    <definedName name="PREMIER_LIGNE_QUINCAILLERIE_ATELIER">'ETAPES CHANTIER'!$D$15</definedName>
    <definedName name="PREMIER_LIGNE_QUINCAILLERIE_CHANTIER">'ETAPES CHANTIER'!$P$15</definedName>
    <definedName name="PREMIER_LIGNE_ZINGUERIE_ATELIER">'ETAPES CHANTIER'!$E$15</definedName>
    <definedName name="PREMIER_LIGNE_ZINGUERIE_CHANTIER">'ETAPES CHANTIER'!$Q$15</definedName>
    <definedName name="PREMIER_LIGNE_ZONE_NON">'ETAPES CHANTIER'!$I$15,'ETAPES CHANTIER'!$U$15</definedName>
    <definedName name="Projet_Adresse">'ETAPES CHANTIER'!$L$3</definedName>
    <definedName name="Projet_Conducteur">'ETAPES CHANTIER'!$G$4</definedName>
    <definedName name="Projet_CP_Ville">'ETAPES CHANTIER'!$L$4</definedName>
    <definedName name="Projet_ref">'ETAPES CHANTIER'!$I$3</definedName>
    <definedName name="Projet_Suivi_par">'ETAPES CHANTIER'!$G$3</definedName>
    <definedName name="Question_SEMA">'Questions et  Penses Bête'!$C$5</definedName>
    <definedName name="QUINCAILLERIE_NB.SI_PAQUET" localSheetId="3">T_PREPA_Paquet_Atelier[[#All],[Désignation]]</definedName>
    <definedName name="QUINCAILLERIE_NB.SI_PAQUET" localSheetId="2">T_PREPA_Paquet_Atelier[[#All],[Désignation]]</definedName>
    <definedName name="QUINCAILLERIE_NB.SI_PAQUET">T_QUINCAILLERIE_Paquet_Atelier[[#All],[Désignation]]</definedName>
    <definedName name="T_PREPA_Goblal_m2" localSheetId="3">PREPA!#REF!</definedName>
    <definedName name="T_PREPA_Goblal_ml" localSheetId="3">PREPA!$C$8</definedName>
    <definedName name="T_PREPA_Goblal_u" localSheetId="3">PREPA!$C$7</definedName>
    <definedName name="T_PREPA_Paquet_Atelier_m2" localSheetId="3">PREPA!$B$16</definedName>
    <definedName name="T_PREPA_Paquet_Atelier_ml" localSheetId="3">PREPA!$B$15</definedName>
    <definedName name="T_PREPA_Paquet_Atelier_u" localSheetId="3">PREPA!$B$14</definedName>
    <definedName name="T_PREPA_Paquet_Chantier_m2" localSheetId="3">PREPA!$B$23</definedName>
    <definedName name="T_PREPA_Paquet_Chantier_ml" localSheetId="3">PREPA!$B$22</definedName>
    <definedName name="T_PREPA_Paquet_Chantier_u" localSheetId="3">PREPA!$B$21</definedName>
    <definedName name="T_QUINCAILLERIE_Magasinier_m2">QUINCAILLERIE!$C$12</definedName>
    <definedName name="T_QUINCAILLERIE_Magasinier_ml">QUINCAILLERIE!$C$11</definedName>
    <definedName name="T_QUINCAILLERIE_Magasinier_u">QUINCAILLERIE!$C$10</definedName>
    <definedName name="T_QUINCAILLERIE_Paquet_Atelier_m2">QUINCAILLERIE!$B$19</definedName>
    <definedName name="T_QUINCAILLERIE_Paquet_Atelier_ml">QUINCAILLERIE!$B$18</definedName>
    <definedName name="T_QUINCAILLERIE_Paquet_Atelier_u">QUINCAILLERIE!$B$17</definedName>
    <definedName name="T_QUINCAILLERIE_Paquet_Chantier_m2">QUINCAILLERIE!$B$26</definedName>
    <definedName name="T_QUINCAILLERIE_Paquet_Chantier_ml">QUINCAILLERIE!$B$25</definedName>
    <definedName name="T_QUINCAILLERIE_Paquet_Chantier_u">QUINCAILLERIE!$B$24</definedName>
    <definedName name="T_ZINGUERIE_Goblal_m2" localSheetId="2">ZINGUERIE!$C$12</definedName>
    <definedName name="T_ZINGUERIE_Goblal_ml" localSheetId="2">ZINGUERIE!$C$11</definedName>
    <definedName name="T_ZINGUERIE_Goblal_u" localSheetId="2">ZINGUERIE!$C$10</definedName>
    <definedName name="T_ZINGUERIE_Paquet_Atelier_m2" localSheetId="2">ZINGUERIE!$B$19</definedName>
    <definedName name="T_ZINGUERIE_Paquet_Atelier_ml" localSheetId="2">ZINGUERIE!$B$18</definedName>
    <definedName name="T_ZINGUERIE_Paquet_Atelier_u" localSheetId="2">ZINGUERIE!$B$17</definedName>
    <definedName name="T_ZINGUERIE_Paquet_Chantier_m2" localSheetId="2">ZINGUERIE!$B$26</definedName>
    <definedName name="T_ZINGUERIE_Paquet_Chantier_ml" localSheetId="2">ZINGUERIE!$B$25</definedName>
    <definedName name="T_ZINGUERIE_Paquet_Chantier_u" localSheetId="2">ZINGUERIE!$B$24</definedName>
    <definedName name="ZONE_CHECK_LISTE_ATELIER">'ETAPES CHANTIER'!$D:$O</definedName>
    <definedName name="ZONE_CHECK_LISTE_CHANTIER">'ETAPES CHANTIER'!$P:$AB</definedName>
    <definedName name="_xlnm.Print_Area" localSheetId="6">'A TRAITER'!$B$5:$G$12</definedName>
    <definedName name="_xlnm.Print_Area" localSheetId="5">'Dimension Murs et Caisson'!$B$2:$E$8</definedName>
    <definedName name="_xlnm.Print_Area" localSheetId="0">'ETAPES CHANTIER'!$B$3:$AB$20</definedName>
    <definedName name="_xlnm.Print_Area" localSheetId="4">Etiquettes!$B$3:$D$17</definedName>
    <definedName name="_xlnm.Print_Area" localSheetId="3">PREPA!$B$2:$L$24</definedName>
    <definedName name="_xlnm.Print_Area" localSheetId="1">QUINCAILLERIE!$B$2:$G$27</definedName>
    <definedName name="_xlnm.Print_Area" localSheetId="2">ZINGUERIE!$B$2:$G$27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R15" i="1" l="1"/>
  <c r="Q15" i="1"/>
  <c r="P15" i="1"/>
  <c r="F15" i="1"/>
  <c r="E15" i="1"/>
  <c r="D15" i="1"/>
  <c r="Y4" i="1"/>
  <c r="Y3" i="1"/>
  <c r="U3" i="1"/>
  <c r="S4" i="1"/>
  <c r="S3" i="1"/>
  <c r="R14" i="1" l="1"/>
  <c r="Q13" i="1"/>
  <c r="P12" i="1"/>
  <c r="H17" i="1" l="1"/>
  <c r="H18" i="1"/>
  <c r="H19" i="1"/>
  <c r="E13" i="1"/>
  <c r="D12" i="1"/>
  <c r="F14" i="1"/>
  <c r="B6" i="9" l="1"/>
  <c r="B5" i="9"/>
  <c r="B4" i="9"/>
  <c r="F3" i="9"/>
  <c r="F2" i="9"/>
  <c r="C4" i="8" l="1"/>
  <c r="C3" i="8"/>
  <c r="C2" i="8"/>
  <c r="K3" i="8"/>
  <c r="K2" i="8"/>
  <c r="F17" i="1" l="1"/>
  <c r="D14" i="7" l="1"/>
  <c r="D15" i="7"/>
  <c r="D5" i="7"/>
  <c r="D6" i="7"/>
  <c r="E3" i="4" l="1"/>
  <c r="E4" i="4" l="1"/>
  <c r="F20" i="1" l="1"/>
  <c r="F7" i="6"/>
  <c r="B7" i="6"/>
  <c r="F6" i="6"/>
  <c r="B6" i="6"/>
  <c r="B5" i="6"/>
  <c r="B11" i="3" l="1"/>
  <c r="D17" i="3"/>
  <c r="D16" i="3"/>
  <c r="B15" i="3"/>
  <c r="D13" i="3"/>
  <c r="D12" i="3"/>
  <c r="D9" i="3"/>
  <c r="D8" i="3"/>
  <c r="B7" i="3"/>
  <c r="D4" i="3"/>
  <c r="D5" i="3"/>
  <c r="B3" i="3"/>
  <c r="F3" i="2" l="1"/>
  <c r="F2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Yannick</author>
  </authors>
  <commentList>
    <comment ref="E3" authorId="0" shapeId="0" xr:uid="{B8FE1380-E6C7-4FC7-BC07-6F434358A92D}">
      <text>
        <r>
          <rPr>
            <sz val="9"/>
            <color indexed="81"/>
            <rFont val="Tahoma"/>
            <family val="2"/>
          </rPr>
          <t>= Hauteur pont
- ep. rack
- ep. calle
- hauteur plateau</t>
        </r>
      </text>
    </comment>
    <comment ref="E4" authorId="0" shapeId="0" xr:uid="{834D7CBF-C3B0-47B1-A927-047C068D6B9C}">
      <text>
        <r>
          <rPr>
            <sz val="9"/>
            <color indexed="81"/>
            <rFont val="Tahoma"/>
            <family val="2"/>
          </rPr>
          <t>= Hauteur pont
- ep. rack</t>
        </r>
        <r>
          <rPr>
            <sz val="9"/>
            <color indexed="81"/>
            <rFont val="Tahoma"/>
            <family val="2"/>
          </rPr>
          <t xml:space="preserve">
- ep. calle
- hauteur plateau</t>
        </r>
      </text>
    </comment>
  </commentList>
</comments>
</file>

<file path=xl/sharedStrings.xml><?xml version="1.0" encoding="utf-8"?>
<sst xmlns="http://schemas.openxmlformats.org/spreadsheetml/2006/main" count="256" uniqueCount="83">
  <si>
    <t>PAQUETS</t>
  </si>
  <si>
    <t>Suivi par :</t>
  </si>
  <si>
    <t>Conducteur :</t>
  </si>
  <si>
    <t>Etapes Chantier</t>
  </si>
  <si>
    <t>QUINCAILLERIE</t>
  </si>
  <si>
    <t>Désignation</t>
  </si>
  <si>
    <t>Qté</t>
  </si>
  <si>
    <t>Paquets
Prêts</t>
  </si>
  <si>
    <t>Paquets
Chargés</t>
  </si>
  <si>
    <t>Paquet</t>
  </si>
  <si>
    <t>Commentaires pour Atelier</t>
  </si>
  <si>
    <t>A complèter par le Responsable Atelier</t>
  </si>
  <si>
    <t>Liste Magasinier</t>
  </si>
  <si>
    <t>/</t>
  </si>
  <si>
    <t>PAQUET</t>
  </si>
  <si>
    <t>Longueur</t>
  </si>
  <si>
    <t>Largeur</t>
  </si>
  <si>
    <t>Epaisseur</t>
  </si>
  <si>
    <t>Longueur Max</t>
  </si>
  <si>
    <t>Largeur Max</t>
  </si>
  <si>
    <t>Hauteur Max</t>
  </si>
  <si>
    <t>Camion</t>
  </si>
  <si>
    <t>Remorque</t>
  </si>
  <si>
    <t>Matériau</t>
  </si>
  <si>
    <t>Essence</t>
  </si>
  <si>
    <t>Classe</t>
  </si>
  <si>
    <t>Dimension</t>
  </si>
  <si>
    <t>Taillé</t>
  </si>
  <si>
    <t>Traité</t>
  </si>
  <si>
    <t>-</t>
  </si>
  <si>
    <t>Liste de bois à Traiter (Chez ORLO)</t>
  </si>
  <si>
    <t>Volume</t>
  </si>
  <si>
    <t>Total CL3 à Traiter</t>
  </si>
  <si>
    <t>Total CL4 à Traiter</t>
  </si>
  <si>
    <t>Questions</t>
  </si>
  <si>
    <t>Penses Bête</t>
  </si>
  <si>
    <t>non</t>
  </si>
  <si>
    <t>Assemblé
en Atelier</t>
  </si>
  <si>
    <t>Détail Paquet ATELIER</t>
  </si>
  <si>
    <t>Détail Paquet CHANTIER</t>
  </si>
  <si>
    <t>u</t>
  </si>
  <si>
    <t>ml</t>
  </si>
  <si>
    <t>m2</t>
  </si>
  <si>
    <t>Prêt</t>
  </si>
  <si>
    <t>PREPA Liste Globale</t>
  </si>
  <si>
    <t>PREPA</t>
  </si>
  <si>
    <t>ZINGUERIE</t>
  </si>
  <si>
    <t>N°</t>
  </si>
  <si>
    <t>Long.</t>
  </si>
  <si>
    <t xml:space="preserve"> </t>
  </si>
  <si>
    <t>Quincail.
Atelier</t>
  </si>
  <si>
    <t>Zinguerie
Atelier</t>
  </si>
  <si>
    <t>Control
Visuel</t>
  </si>
  <si>
    <t>Finition</t>
  </si>
  <si>
    <t>Prépa.
Atelier</t>
  </si>
  <si>
    <t>brun</t>
  </si>
  <si>
    <t>vert</t>
  </si>
  <si>
    <t>gris</t>
  </si>
  <si>
    <t>Quincaillerie</t>
  </si>
  <si>
    <t>Zinguerie</t>
  </si>
  <si>
    <t>Prépa</t>
  </si>
  <si>
    <t>Quincail.
Chantier</t>
  </si>
  <si>
    <t>Zinguerie
Chantier</t>
  </si>
  <si>
    <t>Prépa.
Chantier</t>
  </si>
  <si>
    <t>Livré</t>
  </si>
  <si>
    <t>Posé</t>
  </si>
  <si>
    <t>Commentaires pour Chantier</t>
  </si>
  <si>
    <t>Calage</t>
  </si>
  <si>
    <t>Fixation</t>
  </si>
  <si>
    <t>Scotch</t>
  </si>
  <si>
    <t>A complèter par le Conducteur de travaux</t>
  </si>
  <si>
    <t xml:space="preserve"> N°Racks /Zones</t>
  </si>
  <si>
    <t>Validé</t>
  </si>
  <si>
    <t>CHECK LISTE</t>
  </si>
  <si>
    <t>ATELIER</t>
  </si>
  <si>
    <t>CHANTIER</t>
  </si>
  <si>
    <t>--</t>
  </si>
  <si>
    <t>ELEMENTS_FERRURES</t>
  </si>
  <si>
    <t>Element de</t>
  </si>
  <si>
    <t>Assemblage</t>
  </si>
  <si>
    <t>Prépa chantier</t>
  </si>
  <si>
    <t>Zinguerie chantier</t>
  </si>
  <si>
    <t>Quincaillerie chantier + ferrures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</si>
</sst>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&quot; m&quot;"/>
    <numFmt numFmtId="165" formatCode="0.00&quot; m³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Arial"/>
      <family val="2"/>
    </font>
    <font>
      <sz val="7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6337778862885"/>
        <bgColor indexed="64"/>
      </patternFill>
    </fill>
  </fills>
  <borders count="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1" fillId="2" borderId="1" applyNumberFormat="0" applyFont="0" applyAlignment="0" applyProtection="0"/>
    <xf numFmtId="0" fontId="3" fillId="3" borderId="0" applyNumberFormat="0" applyBorder="0" applyAlignment="0" applyProtection="0"/>
    <xf numFmtId="0" fontId="8" fillId="0" borderId="0" applyNumberFormat="0" applyFill="0" applyBorder="0" applyAlignment="0" applyProtection="0"/>
  </cellStyleXfs>
  <cellXfs count="104">
    <xf numFmtId="0" fontId="0" fillId="0" borderId="0" xfId="0"/>
    <xf numFmtId="0" fontId="0" fillId="4" borderId="6" xfId="0" applyFill="1" applyBorder="1" applyAlignment="1">
      <alignment horizontal="center" vertical="center"/>
    </xf>
    <xf numFmtId="0" fontId="5" fillId="0" borderId="6" xfId="0" applyFont="1" applyBorder="1" applyAlignment="1">
      <alignment horizontal="right"/>
    </xf>
    <xf numFmtId="0" fontId="9" fillId="0" borderId="0" xfId="0" applyFont="1"/>
    <xf numFmtId="0" fontId="8" fillId="0" borderId="0" xfId="4"/>
    <xf numFmtId="0" fontId="10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5" fillId="0" borderId="8" xfId="0" applyFont="1" applyBorder="1" applyAlignment="1">
      <alignment horizontal="right"/>
    </xf>
    <xf numFmtId="164" fontId="16" fillId="0" borderId="0" xfId="0" applyNumberFormat="1" applyFont="1"/>
    <xf numFmtId="164" fontId="0" fillId="6" borderId="0" xfId="0" applyNumberFormat="1" applyFill="1"/>
    <xf numFmtId="0" fontId="13" fillId="0" borderId="0" xfId="0" applyFont="1" applyAlignment="1">
      <alignment horizontal="center"/>
    </xf>
    <xf numFmtId="0" fontId="10" fillId="0" borderId="24" xfId="0" applyFont="1" applyBorder="1"/>
    <xf numFmtId="0" fontId="10" fillId="0" borderId="25" xfId="0" applyFont="1" applyBorder="1"/>
    <xf numFmtId="0" fontId="5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20" fillId="8" borderId="13" xfId="0" applyFont="1" applyFill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center" vertical="center"/>
      <protection locked="0"/>
    </xf>
    <xf numFmtId="0" fontId="17" fillId="8" borderId="13" xfId="0" applyFont="1" applyFill="1" applyBorder="1" applyAlignment="1" applyProtection="1">
      <alignment horizontal="center" vertical="center"/>
      <protection locked="0"/>
    </xf>
    <xf numFmtId="0" fontId="20" fillId="5" borderId="13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6" fillId="0" borderId="0" xfId="0" quotePrefix="1" applyFont="1" applyAlignment="1">
      <alignment vertical="top"/>
    </xf>
    <xf numFmtId="49" fontId="0" fillId="0" borderId="0" xfId="2" applyNumberFormat="1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5" fontId="17" fillId="0" borderId="26" xfId="0" applyNumberFormat="1" applyFont="1" applyBorder="1" applyAlignment="1">
      <alignment vertical="center"/>
    </xf>
    <xf numFmtId="0" fontId="18" fillId="0" borderId="26" xfId="0" applyFont="1" applyBorder="1" applyAlignment="1">
      <alignment horizontal="right" vertical="center"/>
    </xf>
    <xf numFmtId="165" fontId="17" fillId="0" borderId="22" xfId="0" applyNumberFormat="1" applyFont="1" applyBorder="1" applyAlignment="1">
      <alignment vertical="center"/>
    </xf>
    <xf numFmtId="165" fontId="17" fillId="0" borderId="28" xfId="0" applyNumberFormat="1" applyFont="1" applyBorder="1" applyAlignment="1">
      <alignment vertical="center"/>
    </xf>
    <xf numFmtId="0" fontId="0" fillId="0" borderId="21" xfId="0" applyBorder="1"/>
    <xf numFmtId="0" fontId="18" fillId="0" borderId="29" xfId="0" applyFont="1" applyBorder="1" applyAlignment="1">
      <alignment horizontal="right" vertical="center"/>
    </xf>
    <xf numFmtId="165" fontId="17" fillId="0" borderId="20" xfId="0" applyNumberFormat="1" applyFont="1" applyBorder="1" applyAlignment="1">
      <alignment vertical="center"/>
    </xf>
    <xf numFmtId="165" fontId="17" fillId="0" borderId="18" xfId="0" applyNumberFormat="1" applyFont="1" applyBorder="1" applyAlignment="1">
      <alignment vertical="center"/>
    </xf>
    <xf numFmtId="0" fontId="0" fillId="0" borderId="18" xfId="0" applyBorder="1"/>
    <xf numFmtId="0" fontId="17" fillId="0" borderId="17" xfId="0" applyFont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0" fillId="0" borderId="23" xfId="0" applyBorder="1"/>
    <xf numFmtId="0" fontId="0" fillId="0" borderId="27" xfId="0" applyBorder="1"/>
    <xf numFmtId="0" fontId="0" fillId="0" borderId="29" xfId="0" applyBorder="1"/>
    <xf numFmtId="0" fontId="0" fillId="0" borderId="16" xfId="0" applyBorder="1"/>
    <xf numFmtId="0" fontId="18" fillId="0" borderId="18" xfId="0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11" fillId="3" borderId="13" xfId="3" applyFont="1" applyBorder="1" applyAlignment="1" applyProtection="1">
      <alignment horizontal="center" vertical="center" wrapText="1"/>
    </xf>
    <xf numFmtId="0" fontId="4" fillId="0" borderId="0" xfId="1"/>
    <xf numFmtId="0" fontId="4" fillId="0" borderId="0" xfId="1" applyAlignment="1">
      <alignment vertical="top"/>
    </xf>
    <xf numFmtId="0" fontId="4" fillId="3" borderId="13" xfId="1" applyFill="1" applyBorder="1" applyAlignment="1" applyProtection="1">
      <alignment horizontal="center" vertical="center" wrapText="1"/>
    </xf>
    <xf numFmtId="0" fontId="4" fillId="0" borderId="13" xfId="1" applyBorder="1" applyAlignment="1" applyProtection="1">
      <alignment horizontal="center" vertical="center" wrapText="1"/>
      <protection locked="0"/>
    </xf>
    <xf numFmtId="0" fontId="4" fillId="0" borderId="13" xfId="1" applyBorder="1" applyAlignment="1" applyProtection="1">
      <alignment horizontal="center" vertical="center"/>
      <protection locked="0"/>
    </xf>
    <xf numFmtId="49" fontId="4" fillId="0" borderId="0" xfId="1" applyNumberFormat="1" applyFill="1" applyBorder="1" applyAlignment="1" applyProtection="1">
      <alignment horizontal="left"/>
    </xf>
    <xf numFmtId="0" fontId="21" fillId="0" borderId="40" xfId="0" applyFont="1" applyBorder="1" applyAlignment="1">
      <alignment horizontal="right"/>
    </xf>
    <xf numFmtId="0" fontId="21" fillId="0" borderId="41" xfId="0" applyFont="1" applyBorder="1" applyAlignment="1">
      <alignment horizontal="right"/>
    </xf>
    <xf numFmtId="0" fontId="4" fillId="8" borderId="13" xfId="1" applyFill="1" applyBorder="1" applyAlignment="1" applyProtection="1">
      <alignment horizontal="center" vertical="center"/>
      <protection locked="0"/>
    </xf>
    <xf numFmtId="0" fontId="4" fillId="5" borderId="13" xfId="1" applyFill="1" applyBorder="1" applyAlignment="1" applyProtection="1">
      <alignment horizontal="center" vertical="center"/>
      <protection locked="0"/>
    </xf>
    <xf numFmtId="49" fontId="4" fillId="7" borderId="13" xfId="1" applyNumberFormat="1" applyFill="1" applyBorder="1" applyAlignment="1" applyProtection="1">
      <alignment horizontal="center" vertical="center"/>
      <protection locked="0"/>
    </xf>
    <xf numFmtId="0" fontId="4" fillId="0" borderId="0" xfId="1" applyAlignment="1">
      <alignment horizontal="center" vertical="top"/>
    </xf>
    <xf numFmtId="0" fontId="0" fillId="4" borderId="8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36" xfId="0" applyFont="1" applyBorder="1"/>
    <xf numFmtId="0" fontId="6" fillId="0" borderId="38" xfId="0" applyFont="1" applyBorder="1"/>
    <xf numFmtId="0" fontId="0" fillId="0" borderId="30" xfId="0" applyBorder="1"/>
    <xf numFmtId="0" fontId="0" fillId="0" borderId="32" xfId="0" applyBorder="1"/>
    <xf numFmtId="0" fontId="6" fillId="0" borderId="37" xfId="0" applyFont="1" applyBorder="1"/>
    <xf numFmtId="0" fontId="6" fillId="0" borderId="39" xfId="0" applyFont="1" applyBorder="1"/>
    <xf numFmtId="0" fontId="0" fillId="0" borderId="33" xfId="0" applyBorder="1"/>
    <xf numFmtId="0" fontId="0" fillId="0" borderId="35" xfId="0" applyBorder="1"/>
    <xf numFmtId="0" fontId="13" fillId="0" borderId="2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22" fillId="0" borderId="0" xfId="1" applyFont="1" applyBorder="1" applyAlignment="1">
      <alignment horizontal="right" vertical="center"/>
    </xf>
    <xf numFmtId="49" fontId="0" fillId="0" borderId="30" xfId="0" applyNumberFormat="1" applyBorder="1" applyProtection="1">
      <protection locked="0"/>
    </xf>
    <xf numFmtId="49" fontId="0" fillId="0" borderId="32" xfId="0" applyNumberFormat="1" applyBorder="1" applyProtection="1">
      <protection locked="0"/>
    </xf>
    <xf numFmtId="49" fontId="0" fillId="0" borderId="33" xfId="0" applyNumberFormat="1" applyBorder="1" applyProtection="1">
      <protection locked="0"/>
    </xf>
    <xf numFmtId="49" fontId="0" fillId="0" borderId="35" xfId="0" applyNumberFormat="1" applyBorder="1" applyProtection="1">
      <protection locked="0"/>
    </xf>
    <xf numFmtId="49" fontId="6" fillId="0" borderId="36" xfId="0" applyNumberFormat="1" applyFont="1" applyBorder="1" applyProtection="1">
      <protection locked="0"/>
    </xf>
    <xf numFmtId="49" fontId="6" fillId="0" borderId="38" xfId="0" applyNumberFormat="1" applyFont="1" applyBorder="1" applyProtection="1">
      <protection locked="0"/>
    </xf>
    <xf numFmtId="49" fontId="6" fillId="0" borderId="37" xfId="0" applyNumberFormat="1" applyFont="1" applyBorder="1" applyProtection="1">
      <protection locked="0"/>
    </xf>
    <xf numFmtId="49" fontId="6" fillId="0" borderId="39" xfId="0" applyNumberFormat="1" applyFont="1" applyBorder="1" applyProtection="1">
      <protection locked="0"/>
    </xf>
    <xf numFmtId="49" fontId="13" fillId="0" borderId="30" xfId="0" applyNumberFormat="1" applyFont="1" applyBorder="1" applyAlignment="1" applyProtection="1">
      <alignment horizontal="center" vertical="center"/>
      <protection locked="0"/>
    </xf>
    <xf numFmtId="49" fontId="13" fillId="0" borderId="3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5" fillId="0" borderId="14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2" fontId="10" fillId="0" borderId="0" xfId="0" applyNumberFormat="1" applyFont="1"/>
    <xf numFmtId="2" fontId="0" fillId="0" borderId="0" xfId="0" applyNumberFormat="1"/>
  </cellXfs>
  <cellStyles count="5">
    <cellStyle name="Accent5" xfId="3" builtinId="45"/>
    <cellStyle name="NiveauColonne_1" xfId="1" builtinId="2" iLevel="0"/>
    <cellStyle name="Normal" xfId="0" builtinId="0"/>
    <cellStyle name="Note" xfId="2" builtinId="10"/>
    <cellStyle name="Titre" xfId="4" builtinId="15"/>
  </cellStyles>
  <dxfs count="110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theme="0"/>
        </left>
        <right/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/>
        <right style="thin">
          <color theme="0"/>
        </right>
        <top/>
        <bottom/>
        <vertical style="thin">
          <color theme="0"/>
        </vertical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166" formatCode=";;;"/>
      <fill>
        <patternFill patternType="gray0625">
          <bgColor theme="0" tint="-4.9989318521683403E-2"/>
        </patternFill>
      </fill>
    </dxf>
    <dxf>
      <numFmt numFmtId="166" formatCode=";;;"/>
    </dxf>
    <dxf>
      <numFmt numFmtId="166" formatCode=";;;"/>
      <fill>
        <patternFill patternType="gray0625">
          <bgColor theme="0" tint="-4.9989318521683403E-2"/>
        </patternFill>
      </fill>
    </dxf>
    <dxf>
      <numFmt numFmtId="166" formatCode=";;;"/>
    </dxf>
    <dxf>
      <fill>
        <patternFill patternType="solid">
          <fgColor rgb="FF000000"/>
          <bgColor indexed="65"/>
        </patternFill>
      </fill>
    </dxf>
  </dxfs>
  <tableStyles count="0" defaultTableStyle="TableStyleMedium2" defaultPivotStyle="PivotStyleLight16"/>
  <colors>
    <mruColors>
      <color rgb="FFFF99FF"/>
      <color rgb="FFFFCCCC"/>
      <color rgb="FFFF66FF"/>
      <color rgb="FFFF9999"/>
      <color rgb="FFFF8F8F"/>
      <color rgb="FF9A57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84058</xdr:colOff>
      <xdr:row>6</xdr:row>
      <xdr:rowOff>71227</xdr:rowOff>
    </xdr:from>
    <xdr:to>
      <xdr:col>2</xdr:col>
      <xdr:colOff>1523926</xdr:colOff>
      <xdr:row>6</xdr:row>
      <xdr:rowOff>292014</xdr:rowOff>
    </xdr:to>
    <xdr:sp macro="[0]!Effacer" textlink="">
      <xdr:nvSpPr>
        <xdr:cNvPr id="9" name="Rectangle : en biseau 8">
          <a:extLst>
            <a:ext uri="{FF2B5EF4-FFF2-40B4-BE49-F238E27FC236}">
              <a16:creationId xmlns:a16="http://schemas.microsoft.com/office/drawing/2014/main" id="{E13D7B84-E304-4F4B-A610-4D2A42F03BA9}"/>
            </a:ext>
          </a:extLst>
        </xdr:cNvPr>
        <xdr:cNvSpPr/>
      </xdr:nvSpPr>
      <xdr:spPr>
        <a:xfrm>
          <a:off x="322183" y="1023727"/>
          <a:ext cx="1439868" cy="220787"/>
        </a:xfrm>
        <a:prstGeom prst="bevel">
          <a:avLst>
            <a:gd name="adj" fmla="val 9545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Effacer couleur Etape</a:t>
          </a:r>
        </a:p>
      </xdr:txBody>
    </xdr:sp>
    <xdr:clientData fPrintsWithSheet="0"/>
  </xdr:twoCellAnchor>
  <xdr:twoCellAnchor editAs="absolute">
    <xdr:from>
      <xdr:col>2</xdr:col>
      <xdr:colOff>53308</xdr:colOff>
      <xdr:row>8</xdr:row>
      <xdr:rowOff>33127</xdr:rowOff>
    </xdr:from>
    <xdr:to>
      <xdr:col>2</xdr:col>
      <xdr:colOff>718930</xdr:colOff>
      <xdr:row>8</xdr:row>
      <xdr:rowOff>253914</xdr:rowOff>
    </xdr:to>
    <xdr:sp macro="[0]!TRI" textlink="">
      <xdr:nvSpPr>
        <xdr:cNvPr id="13" name="Rectangle : en biseau 12">
          <a:extLst>
            <a:ext uri="{FF2B5EF4-FFF2-40B4-BE49-F238E27FC236}">
              <a16:creationId xmlns:a16="http://schemas.microsoft.com/office/drawing/2014/main" id="{5786C76A-E61E-4CAE-9777-4B246FF15941}"/>
            </a:ext>
          </a:extLst>
        </xdr:cNvPr>
        <xdr:cNvSpPr/>
      </xdr:nvSpPr>
      <xdr:spPr>
        <a:xfrm>
          <a:off x="291433" y="1395202"/>
          <a:ext cx="665622" cy="220787"/>
        </a:xfrm>
        <a:prstGeom prst="bevel">
          <a:avLst>
            <a:gd name="adj" fmla="val 9545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TRIER</a:t>
          </a:r>
        </a:p>
      </xdr:txBody>
    </xdr:sp>
    <xdr:clientData fPrintsWithSheet="0"/>
  </xdr:twoCellAnchor>
  <xdr:twoCellAnchor editAs="absolute">
    <xdr:from>
      <xdr:col>6</xdr:col>
      <xdr:colOff>168199</xdr:colOff>
      <xdr:row>8</xdr:row>
      <xdr:rowOff>33127</xdr:rowOff>
    </xdr:from>
    <xdr:to>
      <xdr:col>6</xdr:col>
      <xdr:colOff>562585</xdr:colOff>
      <xdr:row>8</xdr:row>
      <xdr:rowOff>253914</xdr:rowOff>
    </xdr:to>
    <xdr:sp macro="[0]!oui" textlink="">
      <xdr:nvSpPr>
        <xdr:cNvPr id="14" name="Rectangle : en biseau 13">
          <a:extLst>
            <a:ext uri="{FF2B5EF4-FFF2-40B4-BE49-F238E27FC236}">
              <a16:creationId xmlns:a16="http://schemas.microsoft.com/office/drawing/2014/main" id="{2E240B66-E0D1-417A-8BFA-ED215C661A9F}"/>
            </a:ext>
          </a:extLst>
        </xdr:cNvPr>
        <xdr:cNvSpPr/>
      </xdr:nvSpPr>
      <xdr:spPr>
        <a:xfrm>
          <a:off x="4054399" y="1395202"/>
          <a:ext cx="394386" cy="220787"/>
        </a:xfrm>
        <a:prstGeom prst="bevel">
          <a:avLst>
            <a:gd name="adj" fmla="val 9545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oui</a:t>
          </a:r>
        </a:p>
      </xdr:txBody>
    </xdr:sp>
    <xdr:clientData fPrintsWithSheet="0"/>
  </xdr:twoCellAnchor>
  <xdr:twoCellAnchor editAs="absolute">
    <xdr:from>
      <xdr:col>2</xdr:col>
      <xdr:colOff>744896</xdr:colOff>
      <xdr:row>8</xdr:row>
      <xdr:rowOff>33127</xdr:rowOff>
    </xdr:from>
    <xdr:to>
      <xdr:col>2</xdr:col>
      <xdr:colOff>1819341</xdr:colOff>
      <xdr:row>8</xdr:row>
      <xdr:rowOff>253914</xdr:rowOff>
    </xdr:to>
    <xdr:sp macro="[0]!Ajout_ligne_tableau_ETAPES_CHANTIER" textlink="">
      <xdr:nvSpPr>
        <xdr:cNvPr id="15" name="Rectangle : en biseau 14">
          <a:extLst>
            <a:ext uri="{FF2B5EF4-FFF2-40B4-BE49-F238E27FC236}">
              <a16:creationId xmlns:a16="http://schemas.microsoft.com/office/drawing/2014/main" id="{6D3A2F8C-69DC-4CC1-AB28-45D6DFFBFCD7}"/>
            </a:ext>
          </a:extLst>
        </xdr:cNvPr>
        <xdr:cNvSpPr/>
      </xdr:nvSpPr>
      <xdr:spPr>
        <a:xfrm>
          <a:off x="983021" y="1395202"/>
          <a:ext cx="1074445" cy="220787"/>
        </a:xfrm>
        <a:prstGeom prst="bevel">
          <a:avLst>
            <a:gd name="adj" fmla="val 9545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Ajouter Paquets</a:t>
          </a:r>
        </a:p>
      </xdr:txBody>
    </xdr:sp>
    <xdr:clientData fPrintsWithSheet="0"/>
  </xdr:twoCellAnchor>
  <xdr:twoCellAnchor editAs="absolute">
    <xdr:from>
      <xdr:col>7</xdr:col>
      <xdr:colOff>15102</xdr:colOff>
      <xdr:row>8</xdr:row>
      <xdr:rowOff>36440</xdr:rowOff>
    </xdr:from>
    <xdr:to>
      <xdr:col>7</xdr:col>
      <xdr:colOff>407576</xdr:colOff>
      <xdr:row>8</xdr:row>
      <xdr:rowOff>257227</xdr:rowOff>
    </xdr:to>
    <xdr:sp macro="[0]!non" textlink="">
      <xdr:nvSpPr>
        <xdr:cNvPr id="10" name="Rectangle : en biseau 9">
          <a:extLst>
            <a:ext uri="{FF2B5EF4-FFF2-40B4-BE49-F238E27FC236}">
              <a16:creationId xmlns:a16="http://schemas.microsoft.com/office/drawing/2014/main" id="{E3D10EC9-9356-4873-9318-8287154250ED}"/>
            </a:ext>
          </a:extLst>
        </xdr:cNvPr>
        <xdr:cNvSpPr/>
      </xdr:nvSpPr>
      <xdr:spPr>
        <a:xfrm>
          <a:off x="4482327" y="1398515"/>
          <a:ext cx="392474" cy="220787"/>
        </a:xfrm>
        <a:prstGeom prst="bevel">
          <a:avLst>
            <a:gd name="adj" fmla="val 9545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non</a:t>
          </a:r>
        </a:p>
      </xdr:txBody>
    </xdr:sp>
    <xdr:clientData fPrintsWithSheet="0"/>
  </xdr:twoCellAnchor>
  <xdr:twoCellAnchor editAs="absolute">
    <xdr:from>
      <xdr:col>4</xdr:col>
      <xdr:colOff>38556</xdr:colOff>
      <xdr:row>6</xdr:row>
      <xdr:rowOff>58335</xdr:rowOff>
    </xdr:from>
    <xdr:to>
      <xdr:col>5</xdr:col>
      <xdr:colOff>180026</xdr:colOff>
      <xdr:row>6</xdr:row>
      <xdr:rowOff>300657</xdr:rowOff>
    </xdr:to>
    <xdr:sp macro="[0]!jaune" textlink="">
      <xdr:nvSpPr>
        <xdr:cNvPr id="3" name="Rectangle : en biseau 2">
          <a:extLst>
            <a:ext uri="{FF2B5EF4-FFF2-40B4-BE49-F238E27FC236}">
              <a16:creationId xmlns:a16="http://schemas.microsoft.com/office/drawing/2014/main" id="{6519488C-ABDA-45DF-8F57-5B9070A20416}"/>
            </a:ext>
          </a:extLst>
        </xdr:cNvPr>
        <xdr:cNvSpPr>
          <a:spLocks noChangeAspect="1"/>
        </xdr:cNvSpPr>
      </xdr:nvSpPr>
      <xdr:spPr>
        <a:xfrm>
          <a:off x="2762706" y="1010835"/>
          <a:ext cx="722495" cy="242322"/>
        </a:xfrm>
        <a:prstGeom prst="bevel">
          <a:avLst>
            <a:gd name="adj" fmla="val 9545"/>
          </a:avLst>
        </a:prstGeom>
        <a:solidFill>
          <a:srgbClr val="FFFF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 editAs="absolute">
    <xdr:from>
      <xdr:col>5</xdr:col>
      <xdr:colOff>340775</xdr:colOff>
      <xdr:row>6</xdr:row>
      <xdr:rowOff>57689</xdr:rowOff>
    </xdr:from>
    <xdr:to>
      <xdr:col>6</xdr:col>
      <xdr:colOff>483254</xdr:colOff>
      <xdr:row>6</xdr:row>
      <xdr:rowOff>293707</xdr:rowOff>
    </xdr:to>
    <xdr:sp macro="[0]!vert_clair" textlink="">
      <xdr:nvSpPr>
        <xdr:cNvPr id="4" name="Rectangle : en biseau 3">
          <a:extLst>
            <a:ext uri="{FF2B5EF4-FFF2-40B4-BE49-F238E27FC236}">
              <a16:creationId xmlns:a16="http://schemas.microsoft.com/office/drawing/2014/main" id="{34BFAF98-A8DA-44B8-BA4D-C17EC2C51B57}"/>
            </a:ext>
          </a:extLst>
        </xdr:cNvPr>
        <xdr:cNvSpPr>
          <a:spLocks noChangeAspect="1"/>
        </xdr:cNvSpPr>
      </xdr:nvSpPr>
      <xdr:spPr>
        <a:xfrm>
          <a:off x="3645950" y="1010189"/>
          <a:ext cx="723504" cy="236018"/>
        </a:xfrm>
        <a:prstGeom prst="bevel">
          <a:avLst>
            <a:gd name="adj" fmla="val 9545"/>
          </a:avLst>
        </a:prstGeom>
        <a:solidFill>
          <a:srgbClr val="92D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 editAs="absolute">
    <xdr:from>
      <xdr:col>7</xdr:col>
      <xdr:colOff>82378</xdr:colOff>
      <xdr:row>6</xdr:row>
      <xdr:rowOff>57689</xdr:rowOff>
    </xdr:from>
    <xdr:to>
      <xdr:col>8</xdr:col>
      <xdr:colOff>224854</xdr:colOff>
      <xdr:row>6</xdr:row>
      <xdr:rowOff>293707</xdr:rowOff>
    </xdr:to>
    <xdr:sp macro="[0]!vert" textlink="">
      <xdr:nvSpPr>
        <xdr:cNvPr id="5" name="Rectangle : en biseau 4">
          <a:extLst>
            <a:ext uri="{FF2B5EF4-FFF2-40B4-BE49-F238E27FC236}">
              <a16:creationId xmlns:a16="http://schemas.microsoft.com/office/drawing/2014/main" id="{D3A78748-09A5-4C89-85C4-F5198744452E}"/>
            </a:ext>
          </a:extLst>
        </xdr:cNvPr>
        <xdr:cNvSpPr>
          <a:spLocks noChangeAspect="1"/>
        </xdr:cNvSpPr>
      </xdr:nvSpPr>
      <xdr:spPr>
        <a:xfrm>
          <a:off x="4549603" y="1010189"/>
          <a:ext cx="723501" cy="236018"/>
        </a:xfrm>
        <a:prstGeom prst="bevel">
          <a:avLst>
            <a:gd name="adj" fmla="val 9545"/>
          </a:avLst>
        </a:prstGeom>
        <a:solidFill>
          <a:srgbClr val="00B05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 editAs="absolute">
    <xdr:from>
      <xdr:col>8</xdr:col>
      <xdr:colOff>402341</xdr:colOff>
      <xdr:row>6</xdr:row>
      <xdr:rowOff>58227</xdr:rowOff>
    </xdr:from>
    <xdr:to>
      <xdr:col>8</xdr:col>
      <xdr:colOff>1125607</xdr:colOff>
      <xdr:row>6</xdr:row>
      <xdr:rowOff>299485</xdr:rowOff>
    </xdr:to>
    <xdr:sp macro="[0]!bleu_ciel" textlink="">
      <xdr:nvSpPr>
        <xdr:cNvPr id="6" name="Rectangle : en biseau 5">
          <a:extLst>
            <a:ext uri="{FF2B5EF4-FFF2-40B4-BE49-F238E27FC236}">
              <a16:creationId xmlns:a16="http://schemas.microsoft.com/office/drawing/2014/main" id="{8D06AEE2-CB9C-4614-BD2C-641679DCE671}"/>
            </a:ext>
          </a:extLst>
        </xdr:cNvPr>
        <xdr:cNvSpPr>
          <a:spLocks noChangeAspect="1"/>
        </xdr:cNvSpPr>
      </xdr:nvSpPr>
      <xdr:spPr>
        <a:xfrm>
          <a:off x="5450591" y="1010727"/>
          <a:ext cx="723266" cy="241258"/>
        </a:xfrm>
        <a:prstGeom prst="bevel">
          <a:avLst>
            <a:gd name="adj" fmla="val 9545"/>
          </a:avLst>
        </a:prstGeom>
        <a:solidFill>
          <a:srgbClr val="00B0F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 editAs="absolute">
    <xdr:from>
      <xdr:col>8</xdr:col>
      <xdr:colOff>1288692</xdr:colOff>
      <xdr:row>6</xdr:row>
      <xdr:rowOff>57690</xdr:rowOff>
    </xdr:from>
    <xdr:to>
      <xdr:col>8</xdr:col>
      <xdr:colOff>2010952</xdr:colOff>
      <xdr:row>6</xdr:row>
      <xdr:rowOff>293707</xdr:rowOff>
    </xdr:to>
    <xdr:sp macro="[0]!bleu_marine" textlink="">
      <xdr:nvSpPr>
        <xdr:cNvPr id="7" name="Rectangle : en biseau 6">
          <a:extLst>
            <a:ext uri="{FF2B5EF4-FFF2-40B4-BE49-F238E27FC236}">
              <a16:creationId xmlns:a16="http://schemas.microsoft.com/office/drawing/2014/main" id="{219FE612-B0B6-4C7B-BB72-419A867D3B31}"/>
            </a:ext>
          </a:extLst>
        </xdr:cNvPr>
        <xdr:cNvSpPr>
          <a:spLocks noChangeAspect="1"/>
        </xdr:cNvSpPr>
      </xdr:nvSpPr>
      <xdr:spPr>
        <a:xfrm>
          <a:off x="6336942" y="1010190"/>
          <a:ext cx="722260" cy="236017"/>
        </a:xfrm>
        <a:prstGeom prst="bevel">
          <a:avLst>
            <a:gd name="adj" fmla="val 9545"/>
          </a:avLst>
        </a:prstGeom>
        <a:solidFill>
          <a:srgbClr val="0070C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 editAs="absolute">
    <xdr:from>
      <xdr:col>8</xdr:col>
      <xdr:colOff>2189448</xdr:colOff>
      <xdr:row>6</xdr:row>
      <xdr:rowOff>57690</xdr:rowOff>
    </xdr:from>
    <xdr:to>
      <xdr:col>9</xdr:col>
      <xdr:colOff>71188</xdr:colOff>
      <xdr:row>6</xdr:row>
      <xdr:rowOff>293707</xdr:rowOff>
    </xdr:to>
    <xdr:sp macro="[0]!violet" textlink="">
      <xdr:nvSpPr>
        <xdr:cNvPr id="8" name="Rectangle : en biseau 7">
          <a:extLst>
            <a:ext uri="{FF2B5EF4-FFF2-40B4-BE49-F238E27FC236}">
              <a16:creationId xmlns:a16="http://schemas.microsoft.com/office/drawing/2014/main" id="{30B8B8A6-CB7B-4B33-8E13-9C1D4EC0F667}"/>
            </a:ext>
          </a:extLst>
        </xdr:cNvPr>
        <xdr:cNvSpPr>
          <a:spLocks noChangeAspect="1"/>
        </xdr:cNvSpPr>
      </xdr:nvSpPr>
      <xdr:spPr>
        <a:xfrm>
          <a:off x="7237698" y="1010190"/>
          <a:ext cx="720190" cy="236017"/>
        </a:xfrm>
        <a:prstGeom prst="bevel">
          <a:avLst>
            <a:gd name="adj" fmla="val 9545"/>
          </a:avLst>
        </a:prstGeom>
        <a:solidFill>
          <a:srgbClr val="7030A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7</a:t>
          </a:r>
        </a:p>
      </xdr:txBody>
    </xdr:sp>
    <xdr:clientData/>
  </xdr:twoCellAnchor>
  <xdr:twoCellAnchor editAs="absolute">
    <xdr:from>
      <xdr:col>9</xdr:col>
      <xdr:colOff>249089</xdr:colOff>
      <xdr:row>6</xdr:row>
      <xdr:rowOff>57649</xdr:rowOff>
    </xdr:from>
    <xdr:to>
      <xdr:col>10</xdr:col>
      <xdr:colOff>391566</xdr:colOff>
      <xdr:row>6</xdr:row>
      <xdr:rowOff>293288</xdr:rowOff>
    </xdr:to>
    <xdr:sp macro="[0]!maron" textlink="">
      <xdr:nvSpPr>
        <xdr:cNvPr id="19" name="Rectangle : en biseau 18">
          <a:extLst>
            <a:ext uri="{FF2B5EF4-FFF2-40B4-BE49-F238E27FC236}">
              <a16:creationId xmlns:a16="http://schemas.microsoft.com/office/drawing/2014/main" id="{665426C3-6BF7-459A-B61A-CDD918090D6A}"/>
            </a:ext>
          </a:extLst>
        </xdr:cNvPr>
        <xdr:cNvSpPr>
          <a:spLocks noChangeAspect="1"/>
        </xdr:cNvSpPr>
      </xdr:nvSpPr>
      <xdr:spPr>
        <a:xfrm>
          <a:off x="8135789" y="1010149"/>
          <a:ext cx="723502" cy="235639"/>
        </a:xfrm>
        <a:prstGeom prst="bevel">
          <a:avLst>
            <a:gd name="adj" fmla="val 9545"/>
          </a:avLst>
        </a:prstGeom>
        <a:solidFill>
          <a:srgbClr val="9966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 editAs="absolute">
    <xdr:from>
      <xdr:col>10</xdr:col>
      <xdr:colOff>571393</xdr:colOff>
      <xdr:row>6</xdr:row>
      <xdr:rowOff>57121</xdr:rowOff>
    </xdr:from>
    <xdr:to>
      <xdr:col>12</xdr:col>
      <xdr:colOff>132847</xdr:colOff>
      <xdr:row>6</xdr:row>
      <xdr:rowOff>287591</xdr:rowOff>
    </xdr:to>
    <xdr:sp macro="[0]!rose" textlink="">
      <xdr:nvSpPr>
        <xdr:cNvPr id="20" name="Rectangle : en biseau 19">
          <a:extLst>
            <a:ext uri="{FF2B5EF4-FFF2-40B4-BE49-F238E27FC236}">
              <a16:creationId xmlns:a16="http://schemas.microsoft.com/office/drawing/2014/main" id="{BDAE1436-4CA3-4132-B088-2E6107BD65A4}"/>
            </a:ext>
          </a:extLst>
        </xdr:cNvPr>
        <xdr:cNvSpPr>
          <a:spLocks noChangeAspect="1"/>
        </xdr:cNvSpPr>
      </xdr:nvSpPr>
      <xdr:spPr>
        <a:xfrm>
          <a:off x="9039118" y="1009621"/>
          <a:ext cx="723504" cy="230470"/>
        </a:xfrm>
        <a:prstGeom prst="bevel">
          <a:avLst>
            <a:gd name="adj" fmla="val 9545"/>
          </a:avLst>
        </a:prstGeom>
        <a:solidFill>
          <a:srgbClr val="FF33CC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9</a:t>
          </a:r>
        </a:p>
      </xdr:txBody>
    </xdr:sp>
    <xdr:clientData/>
  </xdr:twoCellAnchor>
  <xdr:twoCellAnchor editAs="absolute">
    <xdr:from>
      <xdr:col>12</xdr:col>
      <xdr:colOff>327164</xdr:colOff>
      <xdr:row>6</xdr:row>
      <xdr:rowOff>57012</xdr:rowOff>
    </xdr:from>
    <xdr:to>
      <xdr:col>13</xdr:col>
      <xdr:colOff>471889</xdr:colOff>
      <xdr:row>6</xdr:row>
      <xdr:rowOff>286403</xdr:rowOff>
    </xdr:to>
    <xdr:sp macro="[0]!rouge" textlink="">
      <xdr:nvSpPr>
        <xdr:cNvPr id="17" name="Rectangle : en biseau 16">
          <a:extLst>
            <a:ext uri="{FF2B5EF4-FFF2-40B4-BE49-F238E27FC236}">
              <a16:creationId xmlns:a16="http://schemas.microsoft.com/office/drawing/2014/main" id="{2D9190B2-8754-4509-A489-26F24BCB6519}"/>
            </a:ext>
          </a:extLst>
        </xdr:cNvPr>
        <xdr:cNvSpPr>
          <a:spLocks noChangeAspect="1"/>
        </xdr:cNvSpPr>
      </xdr:nvSpPr>
      <xdr:spPr>
        <a:xfrm>
          <a:off x="9956939" y="1009512"/>
          <a:ext cx="725750" cy="229391"/>
        </a:xfrm>
        <a:prstGeom prst="bevel">
          <a:avLst>
            <a:gd name="adj" fmla="val 9545"/>
          </a:avLst>
        </a:prstGeom>
        <a:solidFill>
          <a:srgbClr val="FF0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 editAs="absolute">
    <xdr:from>
      <xdr:col>2</xdr:col>
      <xdr:colOff>1631910</xdr:colOff>
      <xdr:row>6</xdr:row>
      <xdr:rowOff>57977</xdr:rowOff>
    </xdr:from>
    <xdr:to>
      <xdr:col>3</xdr:col>
      <xdr:colOff>448499</xdr:colOff>
      <xdr:row>6</xdr:row>
      <xdr:rowOff>296818</xdr:rowOff>
    </xdr:to>
    <xdr:sp macro="[0]!orange" textlink="">
      <xdr:nvSpPr>
        <xdr:cNvPr id="24" name="Rectangle : en biseau 23">
          <a:extLst>
            <a:ext uri="{FF2B5EF4-FFF2-40B4-BE49-F238E27FC236}">
              <a16:creationId xmlns:a16="http://schemas.microsoft.com/office/drawing/2014/main" id="{6070378D-492B-4279-9DDF-B9995F90C225}"/>
            </a:ext>
          </a:extLst>
        </xdr:cNvPr>
        <xdr:cNvSpPr>
          <a:spLocks noChangeAspect="1"/>
        </xdr:cNvSpPr>
      </xdr:nvSpPr>
      <xdr:spPr>
        <a:xfrm>
          <a:off x="1870035" y="1010477"/>
          <a:ext cx="721589" cy="238841"/>
        </a:xfrm>
        <a:prstGeom prst="bevel">
          <a:avLst>
            <a:gd name="adj" fmla="val 9545"/>
          </a:avLst>
        </a:prstGeom>
        <a:solidFill>
          <a:srgbClr val="FFC000"/>
        </a:solidFill>
        <a:ln w="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chemeClr val="tx1"/>
              </a:solidFill>
            </a:rPr>
            <a:t>1</a:t>
          </a:r>
        </a:p>
      </xdr:txBody>
    </xdr:sp>
    <xdr:clientData/>
  </xdr:twoCellAnchor>
  <xdr:twoCellAnchor editAs="absolute">
    <xdr:from>
      <xdr:col>2</xdr:col>
      <xdr:colOff>1557129</xdr:colOff>
      <xdr:row>5</xdr:row>
      <xdr:rowOff>28163</xdr:rowOff>
    </xdr:from>
    <xdr:to>
      <xdr:col>3</xdr:col>
      <xdr:colOff>518170</xdr:colOff>
      <xdr:row>6</xdr:row>
      <xdr:rowOff>19880</xdr:rowOff>
    </xdr:to>
    <xdr:sp macro="" textlink="" fLocksText="0">
      <xdr:nvSpPr>
        <xdr:cNvPr id="2" name="ZoneTexte 1">
          <a:extLst>
            <a:ext uri="{FF2B5EF4-FFF2-40B4-BE49-F238E27FC236}">
              <a16:creationId xmlns:a16="http://schemas.microsoft.com/office/drawing/2014/main" id="{B61BE590-285E-BBC2-C289-A33EBC3DF1AD}"/>
            </a:ext>
          </a:extLst>
        </xdr:cNvPr>
        <xdr:cNvSpPr txBox="1"/>
      </xdr:nvSpPr>
      <xdr:spPr>
        <a:xfrm>
          <a:off x="1795254" y="799688"/>
          <a:ext cx="866041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12</xdr:col>
      <xdr:colOff>252383</xdr:colOff>
      <xdr:row>5</xdr:row>
      <xdr:rowOff>28163</xdr:rowOff>
    </xdr:from>
    <xdr:to>
      <xdr:col>13</xdr:col>
      <xdr:colOff>541682</xdr:colOff>
      <xdr:row>6</xdr:row>
      <xdr:rowOff>19880</xdr:rowOff>
    </xdr:to>
    <xdr:sp macro="" textlink="" fLocksText="0">
      <xdr:nvSpPr>
        <xdr:cNvPr id="11" name="ZoneTexte 10">
          <a:extLst>
            <a:ext uri="{FF2B5EF4-FFF2-40B4-BE49-F238E27FC236}">
              <a16:creationId xmlns:a16="http://schemas.microsoft.com/office/drawing/2014/main" id="{76737B71-2E14-4FCA-9FE8-D7A2EB091BB1}"/>
            </a:ext>
          </a:extLst>
        </xdr:cNvPr>
        <xdr:cNvSpPr txBox="1"/>
      </xdr:nvSpPr>
      <xdr:spPr>
        <a:xfrm>
          <a:off x="9882158" y="799688"/>
          <a:ext cx="870324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3</xdr:col>
      <xdr:colOff>549315</xdr:colOff>
      <xdr:row>5</xdr:row>
      <xdr:rowOff>28163</xdr:rowOff>
    </xdr:from>
    <xdr:to>
      <xdr:col>5</xdr:col>
      <xdr:colOff>255455</xdr:colOff>
      <xdr:row>6</xdr:row>
      <xdr:rowOff>19880</xdr:rowOff>
    </xdr:to>
    <xdr:sp macro="" textlink="" fLocksText="0">
      <xdr:nvSpPr>
        <xdr:cNvPr id="12" name="ZoneTexte 11">
          <a:extLst>
            <a:ext uri="{FF2B5EF4-FFF2-40B4-BE49-F238E27FC236}">
              <a16:creationId xmlns:a16="http://schemas.microsoft.com/office/drawing/2014/main" id="{03A6EADB-C495-48DA-B436-54050E895FFA}"/>
            </a:ext>
          </a:extLst>
        </xdr:cNvPr>
        <xdr:cNvSpPr txBox="1"/>
      </xdr:nvSpPr>
      <xdr:spPr>
        <a:xfrm>
          <a:off x="2692440" y="799688"/>
          <a:ext cx="868190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5</xdr:col>
      <xdr:colOff>286600</xdr:colOff>
      <xdr:row>5</xdr:row>
      <xdr:rowOff>28163</xdr:rowOff>
    </xdr:from>
    <xdr:to>
      <xdr:col>6</xdr:col>
      <xdr:colOff>573531</xdr:colOff>
      <xdr:row>6</xdr:row>
      <xdr:rowOff>19880</xdr:rowOff>
    </xdr:to>
    <xdr:sp macro="" textlink="" fLocksText="0">
      <xdr:nvSpPr>
        <xdr:cNvPr id="16" name="ZoneTexte 15">
          <a:extLst>
            <a:ext uri="{FF2B5EF4-FFF2-40B4-BE49-F238E27FC236}">
              <a16:creationId xmlns:a16="http://schemas.microsoft.com/office/drawing/2014/main" id="{3CB310A9-7354-42A4-839C-153BD8DD4014}"/>
            </a:ext>
          </a:extLst>
        </xdr:cNvPr>
        <xdr:cNvSpPr txBox="1"/>
      </xdr:nvSpPr>
      <xdr:spPr>
        <a:xfrm>
          <a:off x="3591775" y="799688"/>
          <a:ext cx="867956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7</xdr:col>
      <xdr:colOff>24893</xdr:colOff>
      <xdr:row>5</xdr:row>
      <xdr:rowOff>28163</xdr:rowOff>
    </xdr:from>
    <xdr:to>
      <xdr:col>8</xdr:col>
      <xdr:colOff>311820</xdr:colOff>
      <xdr:row>6</xdr:row>
      <xdr:rowOff>19880</xdr:rowOff>
    </xdr:to>
    <xdr:sp macro="" textlink="" fLocksText="0">
      <xdr:nvSpPr>
        <xdr:cNvPr id="18" name="ZoneTexte 17">
          <a:extLst>
            <a:ext uri="{FF2B5EF4-FFF2-40B4-BE49-F238E27FC236}">
              <a16:creationId xmlns:a16="http://schemas.microsoft.com/office/drawing/2014/main" id="{5526F873-219F-4BD6-80A6-CAF147B3031D}"/>
            </a:ext>
          </a:extLst>
        </xdr:cNvPr>
        <xdr:cNvSpPr txBox="1"/>
      </xdr:nvSpPr>
      <xdr:spPr>
        <a:xfrm>
          <a:off x="4492118" y="799688"/>
          <a:ext cx="867952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8</xdr:col>
      <xdr:colOff>342966</xdr:colOff>
      <xdr:row>5</xdr:row>
      <xdr:rowOff>28163</xdr:rowOff>
    </xdr:from>
    <xdr:to>
      <xdr:col>8</xdr:col>
      <xdr:colOff>1210684</xdr:colOff>
      <xdr:row>6</xdr:row>
      <xdr:rowOff>19880</xdr:rowOff>
    </xdr:to>
    <xdr:sp macro="" textlink="" fLocksText="0">
      <xdr:nvSpPr>
        <xdr:cNvPr id="21" name="ZoneTexte 20">
          <a:extLst>
            <a:ext uri="{FF2B5EF4-FFF2-40B4-BE49-F238E27FC236}">
              <a16:creationId xmlns:a16="http://schemas.microsoft.com/office/drawing/2014/main" id="{3BCA8803-9D3F-4AB2-86D4-FC859E2D11E0}"/>
            </a:ext>
          </a:extLst>
        </xdr:cNvPr>
        <xdr:cNvSpPr txBox="1"/>
      </xdr:nvSpPr>
      <xdr:spPr>
        <a:xfrm>
          <a:off x="5391216" y="799688"/>
          <a:ext cx="867718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8</xdr:col>
      <xdr:colOff>1241829</xdr:colOff>
      <xdr:row>5</xdr:row>
      <xdr:rowOff>28163</xdr:rowOff>
    </xdr:from>
    <xdr:to>
      <xdr:col>8</xdr:col>
      <xdr:colOff>2108541</xdr:colOff>
      <xdr:row>6</xdr:row>
      <xdr:rowOff>19880</xdr:rowOff>
    </xdr:to>
    <xdr:sp macro="" textlink="" fLocksText="0">
      <xdr:nvSpPr>
        <xdr:cNvPr id="22" name="ZoneTexte 21">
          <a:extLst>
            <a:ext uri="{FF2B5EF4-FFF2-40B4-BE49-F238E27FC236}">
              <a16:creationId xmlns:a16="http://schemas.microsoft.com/office/drawing/2014/main" id="{FCADEA5C-34BD-4DDD-B5D4-CA82F8A2890C}"/>
            </a:ext>
          </a:extLst>
        </xdr:cNvPr>
        <xdr:cNvSpPr txBox="1"/>
      </xdr:nvSpPr>
      <xdr:spPr>
        <a:xfrm>
          <a:off x="6290079" y="799688"/>
          <a:ext cx="866712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8</xdr:col>
      <xdr:colOff>2139686</xdr:colOff>
      <xdr:row>5</xdr:row>
      <xdr:rowOff>28163</xdr:rowOff>
    </xdr:from>
    <xdr:to>
      <xdr:col>9</xdr:col>
      <xdr:colOff>165878</xdr:colOff>
      <xdr:row>6</xdr:row>
      <xdr:rowOff>19880</xdr:rowOff>
    </xdr:to>
    <xdr:sp macro="" textlink="" fLocksText="0">
      <xdr:nvSpPr>
        <xdr:cNvPr id="23" name="ZoneTexte 22">
          <a:extLst>
            <a:ext uri="{FF2B5EF4-FFF2-40B4-BE49-F238E27FC236}">
              <a16:creationId xmlns:a16="http://schemas.microsoft.com/office/drawing/2014/main" id="{94053871-8555-4095-85BB-AFAFB8D0CD2F}"/>
            </a:ext>
          </a:extLst>
        </xdr:cNvPr>
        <xdr:cNvSpPr txBox="1"/>
      </xdr:nvSpPr>
      <xdr:spPr>
        <a:xfrm>
          <a:off x="7187936" y="799688"/>
          <a:ext cx="864642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9</xdr:col>
      <xdr:colOff>197023</xdr:colOff>
      <xdr:row>5</xdr:row>
      <xdr:rowOff>28163</xdr:rowOff>
    </xdr:from>
    <xdr:to>
      <xdr:col>10</xdr:col>
      <xdr:colOff>484187</xdr:colOff>
      <xdr:row>6</xdr:row>
      <xdr:rowOff>19880</xdr:rowOff>
    </xdr:to>
    <xdr:sp macro="" textlink="" fLocksText="0">
      <xdr:nvSpPr>
        <xdr:cNvPr id="25" name="ZoneTexte 24">
          <a:extLst>
            <a:ext uri="{FF2B5EF4-FFF2-40B4-BE49-F238E27FC236}">
              <a16:creationId xmlns:a16="http://schemas.microsoft.com/office/drawing/2014/main" id="{073F4FB6-A9CF-4FBF-B495-3D7C46BB8F3D}"/>
            </a:ext>
          </a:extLst>
        </xdr:cNvPr>
        <xdr:cNvSpPr txBox="1"/>
      </xdr:nvSpPr>
      <xdr:spPr>
        <a:xfrm>
          <a:off x="8083723" y="799688"/>
          <a:ext cx="868189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10</xdr:col>
      <xdr:colOff>515332</xdr:colOff>
      <xdr:row>5</xdr:row>
      <xdr:rowOff>28163</xdr:rowOff>
    </xdr:from>
    <xdr:to>
      <xdr:col>12</xdr:col>
      <xdr:colOff>221238</xdr:colOff>
      <xdr:row>6</xdr:row>
      <xdr:rowOff>19880</xdr:rowOff>
    </xdr:to>
    <xdr:sp macro="" textlink="" fLocksText="0">
      <xdr:nvSpPr>
        <xdr:cNvPr id="26" name="ZoneTexte 25">
          <a:extLst>
            <a:ext uri="{FF2B5EF4-FFF2-40B4-BE49-F238E27FC236}">
              <a16:creationId xmlns:a16="http://schemas.microsoft.com/office/drawing/2014/main" id="{D07D0714-9924-445E-851E-97E362343E3E}"/>
            </a:ext>
          </a:extLst>
        </xdr:cNvPr>
        <xdr:cNvSpPr txBox="1"/>
      </xdr:nvSpPr>
      <xdr:spPr>
        <a:xfrm>
          <a:off x="8983057" y="799688"/>
          <a:ext cx="867956" cy="172692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1</xdr:col>
      <xdr:colOff>4</xdr:colOff>
      <xdr:row>0</xdr:row>
      <xdr:rowOff>42652</xdr:rowOff>
    </xdr:from>
    <xdr:to>
      <xdr:col>2</xdr:col>
      <xdr:colOff>596595</xdr:colOff>
      <xdr:row>1</xdr:row>
      <xdr:rowOff>180975</xdr:rowOff>
    </xdr:to>
    <xdr:sp macro="[0]!Bouton_ATELIER" textlink="">
      <xdr:nvSpPr>
        <xdr:cNvPr id="27" name="Rectangle : en biseau 26">
          <a:extLst>
            <a:ext uri="{FF2B5EF4-FFF2-40B4-BE49-F238E27FC236}">
              <a16:creationId xmlns:a16="http://schemas.microsoft.com/office/drawing/2014/main" id="{69E23C95-5F62-43F9-9915-38A1DCF03586}"/>
            </a:ext>
          </a:extLst>
        </xdr:cNvPr>
        <xdr:cNvSpPr/>
      </xdr:nvSpPr>
      <xdr:spPr>
        <a:xfrm>
          <a:off x="162626" y="42652"/>
          <a:ext cx="670932" cy="221957"/>
        </a:xfrm>
        <a:prstGeom prst="bevel">
          <a:avLst>
            <a:gd name="adj" fmla="val 9545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ATELIER</a:t>
          </a:r>
        </a:p>
      </xdr:txBody>
    </xdr:sp>
    <xdr:clientData fPrintsWithSheet="0"/>
  </xdr:twoCellAnchor>
  <xdr:twoCellAnchor editAs="absolute">
    <xdr:from>
      <xdr:col>2</xdr:col>
      <xdr:colOff>625169</xdr:colOff>
      <xdr:row>0</xdr:row>
      <xdr:rowOff>42746</xdr:rowOff>
    </xdr:from>
    <xdr:to>
      <xdr:col>2</xdr:col>
      <xdr:colOff>1366173</xdr:colOff>
      <xdr:row>1</xdr:row>
      <xdr:rowOff>181069</xdr:rowOff>
    </xdr:to>
    <xdr:sp macro="[0]!Bouton_CHANTIER" textlink="">
      <xdr:nvSpPr>
        <xdr:cNvPr id="28" name="Rectangle : en biseau 27">
          <a:extLst>
            <a:ext uri="{FF2B5EF4-FFF2-40B4-BE49-F238E27FC236}">
              <a16:creationId xmlns:a16="http://schemas.microsoft.com/office/drawing/2014/main" id="{09D347E5-A348-4308-AF5C-12FCFF71BD0A}"/>
            </a:ext>
          </a:extLst>
        </xdr:cNvPr>
        <xdr:cNvSpPr/>
      </xdr:nvSpPr>
      <xdr:spPr>
        <a:xfrm>
          <a:off x="862132" y="42746"/>
          <a:ext cx="741004" cy="221957"/>
        </a:xfrm>
        <a:prstGeom prst="bevel">
          <a:avLst>
            <a:gd name="adj" fmla="val 9545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CHANTIER</a:t>
          </a:r>
        </a:p>
      </xdr:txBody>
    </xdr:sp>
    <xdr:clientData fPrintsWithSheet="0"/>
  </xdr:twoCellAnchor>
  <xdr:twoCellAnchor editAs="absolute">
    <xdr:from>
      <xdr:col>2</xdr:col>
      <xdr:colOff>1392037</xdr:colOff>
      <xdr:row>0</xdr:row>
      <xdr:rowOff>42746</xdr:rowOff>
    </xdr:from>
    <xdr:to>
      <xdr:col>2</xdr:col>
      <xdr:colOff>1863176</xdr:colOff>
      <xdr:row>1</xdr:row>
      <xdr:rowOff>181069</xdr:rowOff>
    </xdr:to>
    <xdr:sp macro="[0]!Bouton_LES_2" textlink="">
      <xdr:nvSpPr>
        <xdr:cNvPr id="29" name="Rectangle : en biseau 28">
          <a:extLst>
            <a:ext uri="{FF2B5EF4-FFF2-40B4-BE49-F238E27FC236}">
              <a16:creationId xmlns:a16="http://schemas.microsoft.com/office/drawing/2014/main" id="{D76F07B9-BCAA-4C65-8CDF-96B63666FCB0}"/>
            </a:ext>
          </a:extLst>
        </xdr:cNvPr>
        <xdr:cNvSpPr/>
      </xdr:nvSpPr>
      <xdr:spPr>
        <a:xfrm>
          <a:off x="1629000" y="42746"/>
          <a:ext cx="471139" cy="221957"/>
        </a:xfrm>
        <a:prstGeom prst="bevel">
          <a:avLst>
            <a:gd name="adj" fmla="val 9545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>
          <a:noAutofit/>
        </a:bodyPr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LES</a:t>
          </a:r>
          <a:r>
            <a:rPr lang="fr-FR" sz="1100" baseline="0">
              <a:solidFill>
                <a:sysClr val="windowText" lastClr="000000"/>
              </a:solidFill>
            </a:rPr>
            <a:t> 2</a:t>
          </a:r>
          <a:endParaRPr lang="fr-FR" sz="1100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0EB25A-7720-480F-8E9B-413B01DD4949}" name="T_QUINCAILLERIE_Magasinier" displayName="T_QUINCAILLERIE_Magasinier" ref="B9:G13" totalsRowShown="0" headerRowDxfId="104" dataDxfId="103">
  <autoFilter ref="B9:G13" xr:uid="{E6F69E36-6B87-4392-ACAC-167594C47961}"/>
  <tableColumns count="6">
    <tableColumn id="6" xr3:uid="{DC2E6C18-F416-4A3F-AAD2-B94DF8FBD233}" name="Assemblage" dataDxfId="102">
      <calculatedColumnFormula>IF(   (COUNTIF(T_ELEMENTS_FERRURES[Element de],"*"&amp;LEFT(T_QUINCAILLERIE_Magasinier[[#This Row],[Désignation]],17))&gt;0)    * (T_QUINCAILLERIE_Magasinier[[#This Row],[Désignation]]&lt;&gt;""),"voir plan","")</calculatedColumnFormula>
    </tableColumn>
    <tableColumn id="1" xr3:uid="{F98FAF19-C1BF-4955-B99C-56496403A655}" name="Désignation" dataDxfId="101"/>
    <tableColumn id="2" xr3:uid="{1B80AB11-2AFA-4D00-B7A5-D5F9939842A0}" name="Matériau" dataDxfId="100"/>
    <tableColumn id="4" xr3:uid="{ECD12A10-ACB3-42FD-864A-36DF1F3A491D}" name="Qté" dataDxfId="99"/>
    <tableColumn id="3" xr3:uid="{20AD6782-2692-47A2-8CB0-5404E67F160D}" name="-" dataDxfId="98"/>
    <tableColumn id="5" xr3:uid="{2DE09A4F-B885-4B60-AE7C-442ED7AEBD4B}" name="Prêt" dataDxfId="97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F476D-2D48-4E39-A953-FE4CD230F7F6}" name="T_QUINCAILLERIE_Paquet_Atelier" displayName="T_QUINCAILLERIE_Paquet_Atelier" ref="B16:G20" totalsRowShown="0" headerRowDxfId="96" dataDxfId="95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568A0ABF-7181-4A81-B6FF-11156586AAA0}" name="Paquet" dataDxfId="94"/>
    <tableColumn id="5" xr3:uid="{AAB4B5C2-9D6D-497C-97D9-CACB5BF81D52}" name="Désignation" dataDxfId="93"/>
    <tableColumn id="2" xr3:uid="{10AFE9B3-28D5-48D0-8C64-AE27B8AEB6A4}" name="Matériau" dataDxfId="92"/>
    <tableColumn id="4" xr3:uid="{883B7CC3-8E16-403A-AFA8-3937CFBE7A9A}" name="Qté" dataDxfId="91"/>
    <tableColumn id="3" xr3:uid="{DAFBE898-55D6-48AA-90F7-DFDCEE72602C}" name="-" dataDxfId="90"/>
    <tableColumn id="7" xr3:uid="{08D0FFCF-68B8-4CF1-A428-B7E27D5EBB8F}" name="Prêt" dataDxfId="89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50FD31C-85AD-475A-9550-553217FB2E05}" name="T_QUINCAILLERIE_Paquet_Chantier" displayName="T_QUINCAILLERIE_Paquet_Chantier" ref="B23:G27" totalsRowShown="0" headerRowDxfId="88" dataDxfId="87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8985EE59-301A-4C81-B0F4-F1A65F3736AF}" name="Paquet" dataDxfId="86"/>
    <tableColumn id="5" xr3:uid="{9B5A1DBF-E76D-41B1-BA95-DAAFC022403D}" name="Désignation" dataDxfId="85"/>
    <tableColumn id="2" xr3:uid="{3C92091E-9806-4893-822D-32EB4B8B6EF6}" name="Matériau" dataDxfId="84"/>
    <tableColumn id="4" xr3:uid="{9D6C9F1A-6DDC-4C50-B353-7832D2903CC8}" name="Qté" dataDxfId="83"/>
    <tableColumn id="3" xr3:uid="{0275CD9A-60E3-4040-8799-97CE1CFC85AC}" name="-" dataDxfId="82"/>
    <tableColumn id="7" xr3:uid="{4FA61316-A09B-4BD0-8CC1-D4691C5CF818}" name="Prêt" dataDxfId="81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DD0C84-4D70-4083-922E-A1AFAFAC349E}" name="T_ZINGUERIE_Goblal" displayName="T_ZINGUERIE_Goblal" ref="C9:G13" totalsRowShown="0" headerRowDxfId="80" dataDxfId="79">
  <autoFilter ref="C9:G13" xr:uid="{E6F69E36-6B87-4392-ACAC-167594C47961}"/>
  <tableColumns count="5">
    <tableColumn id="1" xr3:uid="{53F5511C-D9AA-4CD6-8F86-EA8A2AC9C03D}" name="Désignation" dataDxfId="78"/>
    <tableColumn id="2" xr3:uid="{DC12BEFC-2390-4CB3-83CA-23A7A5FBCCF8}" name="Matériau" dataDxfId="77"/>
    <tableColumn id="4" xr3:uid="{10D2BC47-EE7B-4DA5-B929-ED292BBA0465}" name="Qté" dataDxfId="76"/>
    <tableColumn id="3" xr3:uid="{773AD0BE-65BF-46EA-A426-40576B028785}" name="-" dataDxfId="75"/>
    <tableColumn id="5" xr3:uid="{7D4797A5-A4FC-412A-9005-6482DF24B14D}" name="Prêt" dataDxfId="74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41C6CCE-EF1B-4D32-9E6A-9BC47DC867F4}" name="T_ZINGUERIE_Paquet_Atelier" displayName="T_ZINGUERIE_Paquet_Atelier" ref="B16:G20" totalsRowShown="0" headerRowDxfId="73" dataDxfId="72">
  <autoFilter ref="B16:G20" xr:uid="{B04758A5-4480-4251-B0FC-4D5B5F6F2E5D}"/>
  <sortState xmlns:xlrd2="http://schemas.microsoft.com/office/spreadsheetml/2017/richdata2" ref="B17:G20">
    <sortCondition ref="B16:B20"/>
  </sortState>
  <tableColumns count="6">
    <tableColumn id="1" xr3:uid="{7258742E-6546-4C96-8FDF-D6BCD20BBD5D}" name="Paquet" dataDxfId="71"/>
    <tableColumn id="5" xr3:uid="{4EC9F0F0-F862-47F3-BAE2-AFD228CCC6EE}" name="Désignation" dataDxfId="70"/>
    <tableColumn id="2" xr3:uid="{F554D378-18CF-4123-8CA2-4089C8D4E44B}" name="Matériau" dataDxfId="69"/>
    <tableColumn id="4" xr3:uid="{9125C89C-B294-444E-A703-40CF9B7288A4}" name="Qté" dataDxfId="68"/>
    <tableColumn id="3" xr3:uid="{E8C43B02-2FF0-45E1-A1F9-9B75D14E6410}" name="-" dataDxfId="67"/>
    <tableColumn id="7" xr3:uid="{8D660AE0-ABCF-4C64-B5A8-049D8F0FC894}" name="Prêt" dataDxfId="66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3CF389E-0D92-40DF-AD45-3FDC8BB19B27}" name="T_ZINGUERIE_Paquet_Chantier" displayName="T_ZINGUERIE_Paquet_Chantier" ref="B23:G27" totalsRowShown="0" headerRowDxfId="65" dataDxfId="64">
  <autoFilter ref="B23:G27" xr:uid="{F50FD31C-85AD-475A-9550-553217FB2E05}"/>
  <sortState xmlns:xlrd2="http://schemas.microsoft.com/office/spreadsheetml/2017/richdata2" ref="B24:G27">
    <sortCondition ref="B23:B27"/>
  </sortState>
  <tableColumns count="6">
    <tableColumn id="1" xr3:uid="{90D77423-191B-45DD-A1F8-8A321E838F67}" name="Paquet" dataDxfId="63"/>
    <tableColumn id="5" xr3:uid="{F1B6DF65-6852-48C0-9B7E-077EDA338CEB}" name="Désignation" dataDxfId="62"/>
    <tableColumn id="2" xr3:uid="{E1941A86-78A2-465C-920A-C64175AFE9CE}" name="Matériau" dataDxfId="61"/>
    <tableColumn id="4" xr3:uid="{6C1A886F-4582-48C4-A07B-2773E705F87B}" name="Qté" dataDxfId="60"/>
    <tableColumn id="3" xr3:uid="{D61FDB89-F701-4038-864D-A22CF9B6F857}" name="-" dataDxfId="59"/>
    <tableColumn id="7" xr3:uid="{0017B7BF-DB60-4D03-93B8-8ACABC255EC5}" name="Prêt" dataDxfId="58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BD5C11E-AB6B-49EA-99D6-CF5021FB6C2D}" name="T_PREPA_Goblal" displayName="T_PREPA_Goblal" ref="C6:L10" totalsRowShown="0" headerRowDxfId="57" dataDxfId="56">
  <autoFilter ref="C6:L10" xr:uid="{E6F69E36-6B87-4392-ACAC-167594C47961}"/>
  <tableColumns count="10">
    <tableColumn id="1" xr3:uid="{3C9285F5-9AA2-4DE7-A913-B0F6828D1FFB}" name="Désignation" dataDxfId="55"/>
    <tableColumn id="6" xr3:uid="{41A77DBE-BC57-4B8D-A01A-CECE86F2A68D}" name="N°" dataDxfId="54"/>
    <tableColumn id="2" xr3:uid="{08BC5E2B-D319-485C-95F6-A5B0569E440E}" name="Matériau" dataDxfId="53"/>
    <tableColumn id="9" xr3:uid="{5DC77A81-A2BE-475B-B2F9-964DD26B3E5F}" name="Essence" dataDxfId="52"/>
    <tableColumn id="8" xr3:uid="{CAAD0ABD-8D4A-43A6-B9B6-CD66D42CACA5}" name="Classe" dataDxfId="51"/>
    <tableColumn id="7" xr3:uid="{24230057-B61A-4518-95D2-4781554FC300}" name="Dimension" dataDxfId="50"/>
    <tableColumn id="10" xr3:uid="{D9591ABC-A97F-42DB-A292-1CB89996A203}" name="Long." dataDxfId="49"/>
    <tableColumn id="4" xr3:uid="{384EE755-9379-4218-A56F-4630BEFB3D80}" name="Qté" dataDxfId="48"/>
    <tableColumn id="3" xr3:uid="{EF4C7AD8-65B9-4A84-AA3F-7794343A6D50}" name="-" dataDxfId="47"/>
    <tableColumn id="5" xr3:uid="{79CEC700-FD16-48E6-8A16-B9B2BD99288F}" name="Prêt" dataDxfId="46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BC9800-A728-4D8E-9839-4AF301C81803}" name="T_PREPA_Paquet_Atelier" displayName="T_PREPA_Paquet_Atelier" ref="B13:L17" totalsRowShown="0" headerRowDxfId="45" dataDxfId="44">
  <autoFilter ref="B13:L17" xr:uid="{B04758A5-4480-4251-B0FC-4D5B5F6F2E5D}"/>
  <sortState xmlns:xlrd2="http://schemas.microsoft.com/office/spreadsheetml/2017/richdata2" ref="B14:L17">
    <sortCondition ref="B13:B17"/>
  </sortState>
  <tableColumns count="11">
    <tableColumn id="1" xr3:uid="{EEF5FFC9-D2B7-4DE0-84B9-895BCD7AD291}" name="Paquet" dataDxfId="43"/>
    <tableColumn id="5" xr3:uid="{B9371F0E-5ACE-42D5-9351-D47F361F4162}" name="Désignation" dataDxfId="42"/>
    <tableColumn id="6" xr3:uid="{6366193C-8BFF-4D65-AEA5-1BB413637A0C}" name="N°" dataDxfId="41"/>
    <tableColumn id="2" xr3:uid="{3D1F1A55-A0EF-4D39-B9B4-6708DC4F4926}" name="Matériau" dataDxfId="40"/>
    <tableColumn id="11" xr3:uid="{08E47012-9C0F-4509-B7AE-E2EEE872CD76}" name="Essence" dataDxfId="39"/>
    <tableColumn id="10" xr3:uid="{EF04AC4A-F3FB-4979-97C7-93DBE11EA520}" name="Classe" dataDxfId="38"/>
    <tableColumn id="9" xr3:uid="{059A3117-C034-4DB0-A4A0-CCC4583162AA}" name="Dimension" dataDxfId="37"/>
    <tableColumn id="8" xr3:uid="{D73772F5-A087-46AB-81C1-1DA9FEBD9ED6}" name="Long." dataDxfId="36"/>
    <tableColumn id="4" xr3:uid="{A8C83324-3449-4B81-B1D1-15F0A0B1D6C4}" name="Qté" dataDxfId="35"/>
    <tableColumn id="3" xr3:uid="{FD5A83DF-66D0-441B-A521-933A4D569CAE}" name=" " dataDxfId="34"/>
    <tableColumn id="7" xr3:uid="{D237E472-4C1F-4EC5-82C0-D955B5585D6B}" name="Prêt" dataDxfId="33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ED36CB-44CC-4682-9C7D-F0FCC23E051B}" name="T_PREPA_Paquet_Chantier" displayName="T_PREPA_Paquet_Chantier" ref="B20:L24" totalsRowShown="0" headerRowDxfId="32" dataDxfId="31">
  <autoFilter ref="B20:L24" xr:uid="{F50FD31C-85AD-475A-9550-553217FB2E05}"/>
  <sortState xmlns:xlrd2="http://schemas.microsoft.com/office/spreadsheetml/2017/richdata2" ref="B21:L24">
    <sortCondition ref="B20:B24"/>
  </sortState>
  <tableColumns count="11">
    <tableColumn id="1" xr3:uid="{015D8C7C-A6D3-4E55-82FB-762C5E94847B}" name="Paquet" dataDxfId="30"/>
    <tableColumn id="5" xr3:uid="{23316E6C-5A06-4803-849F-19C4B5754D7B}" name="Désignation" dataDxfId="29"/>
    <tableColumn id="6" xr3:uid="{A41FE746-E379-4860-B006-FD7ECD1B348A}" name="N°" dataDxfId="28"/>
    <tableColumn id="2" xr3:uid="{D64EF94E-2850-467A-999E-F1B5B6323926}" name="Matériau" dataDxfId="27"/>
    <tableColumn id="11" xr3:uid="{E9F04B14-992E-4E89-A8FB-4F9D4940AB52}" name="Essence" dataDxfId="26"/>
    <tableColumn id="10" xr3:uid="{D6DF61E6-EA78-42E3-914B-1E49B8730BC8}" name="Classe" dataDxfId="25"/>
    <tableColumn id="9" xr3:uid="{3234CC7B-6216-469F-BB7B-9C2615ABDD51}" name="Dimension" dataDxfId="24"/>
    <tableColumn id="8" xr3:uid="{AE548F6D-DCCB-4499-9033-6003BEE44B35}" name="Long." dataDxfId="23"/>
    <tableColumn id="4" xr3:uid="{35D29AAE-2F99-4053-A3EB-4E58AA40A491}" name="Qté" dataDxfId="22"/>
    <tableColumn id="3" xr3:uid="{37860936-457A-44D8-B745-BF2EB1E75018}" name=" " dataDxfId="21"/>
    <tableColumn id="7" xr3:uid="{CE3BD76C-EF1C-47B3-80B8-E2C177AB3E24}" name="Prêt" dataDxfId="20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DE621D-2293-49E7-8405-FF297D3E8C23}" name="T_Dimension_Murs_et_Caisson" displayName="T_Dimension_Murs_et_Caisson" ref="B6:E8" totalsRowShown="0">
  <autoFilter ref="B6:E8" xr:uid="{64E86EDB-476A-442A-8BC3-EA44B5A72AE3}"/>
  <tableColumns count="4">
    <tableColumn id="1" xr3:uid="{F3983118-78E2-4A77-B126-075DF9FB989D}" name="PAQUET"/>
    <tableColumn id="2" xr3:uid="{BBF29AC8-BAE3-4420-B794-1ACC521BC3F5}" name="Longueur" dataDxfId="19"/>
    <tableColumn id="3" xr3:uid="{69337440-2982-4719-A550-8A5D7A788945}" name="Largeur" dataDxfId="18"/>
    <tableColumn id="4" xr3:uid="{7D97E299-C651-44EA-B203-3E7F649B9DAC}" name="Epaisseur" dataDxfId="17"/>
  </tableColumns>
  <tableStyleInfo name="TableStyleMedium2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6512A4-F459-4F84-899A-F501F523F71F}" name="T_A_TRAITER" displayName="T_A_TRAITER" ref="B10:F12" totalsRowShown="0" headerRowDxfId="16" dataDxfId="15">
  <autoFilter ref="B10:F12" xr:uid="{E34661AD-B7A6-44EF-B91C-FBB6389459CA}"/>
  <tableColumns count="5">
    <tableColumn id="1" xr3:uid="{CB739DEC-7F17-4BD6-A772-DED76040C16F}" name="Paquet" dataDxfId="14"/>
    <tableColumn id="2" xr3:uid="{0BD5DA46-D502-4FD6-8F8B-7598A7A25020}" name="Matériau" dataDxfId="13"/>
    <tableColumn id="3" xr3:uid="{8AA6D28E-346F-445F-973C-190D62435A43}" name="Classe" dataDxfId="12"/>
    <tableColumn id="5" xr3:uid="{993EAAAD-BB0D-40FC-A1E4-B623E959C8BE}" name="Finition" dataDxfId="1"/>
    <tableColumn id="4" xr3:uid="{3215A35F-0672-4A5A-B60B-A7E841030132}" name="Volume" dataDxfId="0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3FD9E4-B6E9-4492-915A-B93087232A3C}" name="T_Question" displayName="T_Question" ref="C4:D6" totalsRowShown="0" headerRowDxfId="11" dataDxfId="10">
  <autoFilter ref="C4:D6" xr:uid="{082B26DB-E9DC-4907-BBDE-FE7C47980DB2}"/>
  <tableColumns count="2">
    <tableColumn id="1" xr3:uid="{3079D95F-4715-4D5A-87D3-2E18BB67CF58}" name="Questions" dataDxfId="9"/>
    <tableColumn id="2" xr3:uid="{0CE675B3-B9CC-48EC-8217-C7FFA0A1F42B}" name="Traité" dataDxfId="8">
      <calculatedColumnFormula>IF(T_Question[[#This Row],[Questions]]="","","non")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79AA41-C97C-4551-835F-5ED2E1374C88}" name="Tableau_Pense_bete" displayName="Tableau_Pense_bete" ref="C13:D15" totalsRowShown="0" headerRowDxfId="7" dataDxfId="6">
  <autoFilter ref="C13:D15" xr:uid="{04B3D69A-DE50-4EE4-BD37-F8C661DDA37A}"/>
  <tableColumns count="2">
    <tableColumn id="1" xr3:uid="{043E2E4C-68FB-44E8-8006-6B3CE81B28AD}" name="Penses Bête" dataDxfId="5"/>
    <tableColumn id="2" xr3:uid="{2B8FEE09-7BCB-4BFD-A1C8-CAA9014A5E03}" name="Traité" dataDxfId="4">
      <calculatedColumnFormula>IF(Tableau_Pense_bete[[#This Row],[Penses Bête]]="","","non")</calculatedColumnFormula>
    </tableColumn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138935-7AB4-4201-AE23-C4A55AC3A9DE}" name="T_ELEMENTS_FERRURES" displayName="T_ELEMENTS_FERRURES" ref="B3:E4" totalsRowShown="0">
  <autoFilter ref="B3:E4" xr:uid="{98138935-7AB4-4201-AE23-C4A55AC3A9DE}"/>
  <tableColumns count="4">
    <tableColumn id="1" xr3:uid="{061700C4-4C54-4FE4-AE87-FA75BB41E298}" name="Element de"/>
    <tableColumn id="2" xr3:uid="{A50C459A-B7E9-499C-8E84-5126390CA2E7}" name="Désignation"/>
    <tableColumn id="4" xr3:uid="{04561609-7610-47BA-A52C-61458D0C96B3}" name="N°" dataDxfId="3"/>
    <tableColumn id="5" xr3:uid="{69DCEDE7-8648-43CD-B76F-E15350E8F739}" name="Qté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outlinePr applyStyles="1" summaryRight="0"/>
    <pageSetUpPr fitToPage="1"/>
  </sheetPr>
  <dimension ref="C1:AA20"/>
  <sheetViews>
    <sheetView showGridLines="0" view="pageBreakPreview" zoomScaleNormal="115" zoomScaleSheetLayoutView="100" workbookViewId="0">
      <pane ySplit="11" topLeftCell="A12" activePane="bottomLeft" state="frozen"/>
      <selection pane="bottomLeft" activeCell="I14" sqref="I14"/>
    </sheetView>
  </sheetViews>
  <sheetFormatPr baseColWidth="10" defaultColWidth="9.140625" defaultRowHeight="15" x14ac:dyDescent="0.25"/>
  <cols>
    <col min="1" max="1" width="2.42578125" customWidth="1"/>
    <col min="2" max="2" width="1.140625" customWidth="1"/>
    <col min="3" max="3" width="28.5703125" style="44" customWidth="1"/>
    <col min="4" max="8" width="8.7109375" customWidth="1"/>
    <col min="9" max="9" width="42.5703125" customWidth="1"/>
    <col min="10" max="14" width="8.7109375" customWidth="1"/>
    <col min="15" max="15" width="1.140625" customWidth="1"/>
    <col min="16" max="16" width="8.7109375" style="44" customWidth="1"/>
    <col min="17" max="20" width="8.7109375" customWidth="1"/>
    <col min="21" max="21" width="33.28515625" customWidth="1"/>
    <col min="22" max="27" width="8.7109375" customWidth="1"/>
    <col min="28" max="28" width="1.42578125" customWidth="1"/>
  </cols>
  <sheetData>
    <row r="1" spans="3:27" ht="6.75" customHeight="1" x14ac:dyDescent="0.25"/>
    <row r="2" spans="3:27" ht="16.5" customHeight="1" thickBot="1" x14ac:dyDescent="0.3"/>
    <row r="3" spans="3:27" ht="15.75" customHeight="1" x14ac:dyDescent="0.25">
      <c r="C3" s="73" t="s">
        <v>73</v>
      </c>
      <c r="D3" s="58" t="s">
        <v>74</v>
      </c>
      <c r="E3" s="58"/>
      <c r="F3" s="50" t="s">
        <v>1</v>
      </c>
      <c r="G3" s="78" t="s">
        <v>76</v>
      </c>
      <c r="H3" s="79"/>
      <c r="I3" s="82" t="s">
        <v>76</v>
      </c>
      <c r="J3" s="82"/>
      <c r="K3" s="82"/>
      <c r="L3" s="74" t="s">
        <v>76</v>
      </c>
      <c r="M3" s="74"/>
      <c r="N3" s="75"/>
      <c r="P3" s="58" t="s">
        <v>75</v>
      </c>
      <c r="Q3" s="58"/>
      <c r="R3" s="50" t="s">
        <v>1</v>
      </c>
      <c r="S3" s="59" t="str">
        <f>Projet_Suivi_par</f>
        <v>--</v>
      </c>
      <c r="T3" s="60"/>
      <c r="U3" s="67" t="str">
        <f>Projet_ref</f>
        <v>--</v>
      </c>
      <c r="V3" s="68"/>
      <c r="W3" s="68"/>
      <c r="X3" s="69"/>
      <c r="Y3" s="61" t="str">
        <f xml:space="preserve"> Projet_Adresse</f>
        <v>--</v>
      </c>
      <c r="Z3" s="61"/>
      <c r="AA3" s="62"/>
    </row>
    <row r="4" spans="3:27" ht="15.75" customHeight="1" thickBot="1" x14ac:dyDescent="0.3">
      <c r="C4" s="73"/>
      <c r="D4" s="58"/>
      <c r="E4" s="58"/>
      <c r="F4" s="51" t="s">
        <v>2</v>
      </c>
      <c r="G4" s="80" t="s">
        <v>76</v>
      </c>
      <c r="H4" s="81"/>
      <c r="I4" s="83"/>
      <c r="J4" s="83"/>
      <c r="K4" s="83"/>
      <c r="L4" s="76" t="s">
        <v>76</v>
      </c>
      <c r="M4" s="76"/>
      <c r="N4" s="77"/>
      <c r="P4" s="58"/>
      <c r="Q4" s="58"/>
      <c r="R4" s="51" t="s">
        <v>2</v>
      </c>
      <c r="S4" s="63" t="str">
        <f>Projet_Conducteur</f>
        <v>--</v>
      </c>
      <c r="T4" s="64"/>
      <c r="U4" s="70"/>
      <c r="V4" s="71"/>
      <c r="W4" s="71"/>
      <c r="X4" s="72"/>
      <c r="Y4" s="65" t="str">
        <f xml:space="preserve"> Projet_CP_Ville</f>
        <v>--</v>
      </c>
      <c r="Z4" s="65"/>
      <c r="AA4" s="66"/>
    </row>
    <row r="5" spans="3:27" ht="6" customHeight="1" x14ac:dyDescent="0.25"/>
    <row r="6" spans="3:27" ht="14.25" customHeight="1" x14ac:dyDescent="0.25">
      <c r="C6" s="55" t="s">
        <v>3</v>
      </c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</row>
    <row r="7" spans="3:27" ht="24.75" customHeight="1" x14ac:dyDescent="0.25">
      <c r="C7" s="45"/>
      <c r="D7" s="22"/>
      <c r="E7" s="22"/>
      <c r="F7" s="22"/>
      <c r="G7" s="22"/>
      <c r="H7" s="22"/>
      <c r="K7" s="22"/>
      <c r="L7" s="22"/>
      <c r="M7" s="22"/>
      <c r="N7" s="22"/>
    </row>
    <row r="8" spans="3:27" ht="7.5" customHeight="1" thickBot="1" x14ac:dyDescent="0.3"/>
    <row r="9" spans="3:27" ht="22.5" customHeight="1" thickBot="1" x14ac:dyDescent="0.3">
      <c r="J9" s="1" t="s">
        <v>11</v>
      </c>
      <c r="K9" s="56"/>
      <c r="L9" s="56"/>
      <c r="M9" s="56"/>
      <c r="N9" s="57"/>
      <c r="V9" s="1" t="s">
        <v>70</v>
      </c>
      <c r="W9" s="56"/>
      <c r="X9" s="56"/>
      <c r="Y9" s="56"/>
      <c r="Z9" s="56"/>
      <c r="AA9" s="57"/>
    </row>
    <row r="10" spans="3:27" ht="7.5" customHeight="1" x14ac:dyDescent="0.25"/>
    <row r="11" spans="3:27" ht="26.25" customHeight="1" x14ac:dyDescent="0.25">
      <c r="C11" s="46" t="s">
        <v>0</v>
      </c>
      <c r="D11" s="43" t="s">
        <v>50</v>
      </c>
      <c r="E11" s="43" t="s">
        <v>51</v>
      </c>
      <c r="F11" s="43" t="s">
        <v>54</v>
      </c>
      <c r="G11" s="43" t="s">
        <v>27</v>
      </c>
      <c r="H11" s="43" t="s">
        <v>28</v>
      </c>
      <c r="I11" s="43" t="s">
        <v>10</v>
      </c>
      <c r="J11" s="43" t="s">
        <v>37</v>
      </c>
      <c r="K11" s="43" t="s">
        <v>52</v>
      </c>
      <c r="L11" s="43" t="s">
        <v>7</v>
      </c>
      <c r="M11" s="43" t="s">
        <v>71</v>
      </c>
      <c r="N11" s="43" t="s">
        <v>8</v>
      </c>
      <c r="O11" s="42"/>
      <c r="P11" s="43" t="s">
        <v>61</v>
      </c>
      <c r="Q11" s="43" t="s">
        <v>62</v>
      </c>
      <c r="R11" s="43" t="s">
        <v>63</v>
      </c>
      <c r="S11" s="43" t="s">
        <v>64</v>
      </c>
      <c r="T11" s="43" t="s">
        <v>65</v>
      </c>
      <c r="U11" s="43" t="s">
        <v>66</v>
      </c>
      <c r="V11" s="43" t="s">
        <v>67</v>
      </c>
      <c r="W11" s="43" t="s">
        <v>68</v>
      </c>
      <c r="X11" s="43" t="s">
        <v>69</v>
      </c>
      <c r="Y11" s="43" t="s">
        <v>53</v>
      </c>
      <c r="Z11" s="43" t="s">
        <v>52</v>
      </c>
      <c r="AA11" s="43" t="s">
        <v>72</v>
      </c>
    </row>
    <row r="12" spans="3:27" s="21" customFormat="1" ht="21.75" customHeight="1" x14ac:dyDescent="0.25">
      <c r="C12" s="47" t="s">
        <v>58</v>
      </c>
      <c r="D12" s="17" t="str">
        <f>IF(SUM(T_QUINCAILLERIE_Paquet_Atelier[Qté])&gt;0,"voir liste","non")</f>
        <v>non</v>
      </c>
      <c r="E12" s="17" t="s">
        <v>36</v>
      </c>
      <c r="F12" s="17" t="s">
        <v>36</v>
      </c>
      <c r="G12" s="17" t="s">
        <v>36</v>
      </c>
      <c r="H12" s="17" t="s">
        <v>36</v>
      </c>
      <c r="I12" s="18" t="s">
        <v>82</v>
      </c>
      <c r="J12" s="19" t="s">
        <v>36</v>
      </c>
      <c r="K12" s="19" t="s">
        <v>36</v>
      </c>
      <c r="L12" s="19" t="s">
        <v>36</v>
      </c>
      <c r="M12" s="19" t="s">
        <v>36</v>
      </c>
      <c r="N12" s="19" t="s">
        <v>36</v>
      </c>
      <c r="P12" s="52" t="str">
        <f>IF(SUM(T_QUINCAILLERIE_Paquet_Atelier[Qté])&gt;0,"voir liste","non")</f>
        <v>non</v>
      </c>
      <c r="Q12" s="17" t="s">
        <v>36</v>
      </c>
      <c r="R12" s="17" t="s">
        <v>36</v>
      </c>
      <c r="S12" s="17"/>
      <c r="T12" s="17"/>
      <c r="U12" s="18" t="s">
        <v>36</v>
      </c>
      <c r="V12" s="19" t="s">
        <v>36</v>
      </c>
      <c r="W12" s="19" t="s">
        <v>36</v>
      </c>
      <c r="X12" s="19" t="s">
        <v>36</v>
      </c>
      <c r="Y12" s="19" t="s">
        <v>36</v>
      </c>
      <c r="Z12" s="19" t="s">
        <v>36</v>
      </c>
      <c r="AA12" s="19" t="s">
        <v>36</v>
      </c>
    </row>
    <row r="13" spans="3:27" s="21" customFormat="1" ht="21.75" customHeight="1" x14ac:dyDescent="0.25">
      <c r="C13" s="48" t="s">
        <v>59</v>
      </c>
      <c r="D13" s="17" t="s">
        <v>36</v>
      </c>
      <c r="E13" s="17" t="str">
        <f>IF(SUM(T_ZINGUERIE_Paquet_Atelier[Qté])&gt;0,"voir liste","non")</f>
        <v>non</v>
      </c>
      <c r="F13" s="17" t="s">
        <v>36</v>
      </c>
      <c r="G13" s="17" t="s">
        <v>36</v>
      </c>
      <c r="H13" s="17" t="s">
        <v>36</v>
      </c>
      <c r="I13" s="18" t="s">
        <v>81</v>
      </c>
      <c r="J13" s="19" t="s">
        <v>36</v>
      </c>
      <c r="K13" s="19" t="s">
        <v>36</v>
      </c>
      <c r="L13" s="19" t="s">
        <v>36</v>
      </c>
      <c r="M13" s="19" t="s">
        <v>36</v>
      </c>
      <c r="N13" s="19" t="s">
        <v>36</v>
      </c>
      <c r="P13" s="52" t="s">
        <v>36</v>
      </c>
      <c r="Q13" s="17" t="str">
        <f>IF(SUM(T_ZINGUERIE_Paquet_Atelier[Qté])&gt;0,"voir liste","non")</f>
        <v>non</v>
      </c>
      <c r="R13" s="17" t="s">
        <v>36</v>
      </c>
      <c r="S13" s="17"/>
      <c r="T13" s="17"/>
      <c r="U13" s="18" t="s">
        <v>36</v>
      </c>
      <c r="V13" s="19" t="s">
        <v>36</v>
      </c>
      <c r="W13" s="19" t="s">
        <v>36</v>
      </c>
      <c r="X13" s="19" t="s">
        <v>36</v>
      </c>
      <c r="Y13" s="19" t="s">
        <v>36</v>
      </c>
      <c r="Z13" s="19" t="s">
        <v>36</v>
      </c>
      <c r="AA13" s="19" t="s">
        <v>36</v>
      </c>
    </row>
    <row r="14" spans="3:27" s="21" customFormat="1" ht="21.75" customHeight="1" x14ac:dyDescent="0.25">
      <c r="C14" s="47" t="s">
        <v>60</v>
      </c>
      <c r="D14" s="17" t="s">
        <v>36</v>
      </c>
      <c r="E14" s="17" t="s">
        <v>36</v>
      </c>
      <c r="F14" s="17" t="str">
        <f>IF(SUM(T_PREPA_Paquet_Atelier[Qté])&gt;0,"voir liste","non")</f>
        <v>non</v>
      </c>
      <c r="G14" s="17" t="s">
        <v>36</v>
      </c>
      <c r="H14" s="17" t="s">
        <v>36</v>
      </c>
      <c r="I14" s="18" t="s">
        <v>80</v>
      </c>
      <c r="J14" s="19" t="s">
        <v>36</v>
      </c>
      <c r="K14" s="19" t="s">
        <v>36</v>
      </c>
      <c r="L14" s="19" t="s">
        <v>36</v>
      </c>
      <c r="M14" s="19" t="s">
        <v>36</v>
      </c>
      <c r="N14" s="19" t="s">
        <v>36</v>
      </c>
      <c r="P14" s="52" t="s">
        <v>36</v>
      </c>
      <c r="Q14" s="17" t="s">
        <v>36</v>
      </c>
      <c r="R14" s="17" t="str">
        <f>IF(SUM(T_PREPA_Paquet_Atelier[Qté])&gt;0,"voir liste","non")</f>
        <v>non</v>
      </c>
      <c r="S14" s="17"/>
      <c r="T14" s="17"/>
      <c r="U14" s="18" t="s">
        <v>36</v>
      </c>
      <c r="V14" s="19" t="s">
        <v>36</v>
      </c>
      <c r="W14" s="19" t="s">
        <v>36</v>
      </c>
      <c r="X14" s="19" t="s">
        <v>36</v>
      </c>
      <c r="Y14" s="19" t="s">
        <v>36</v>
      </c>
      <c r="Z14" s="19" t="s">
        <v>36</v>
      </c>
      <c r="AA14" s="19" t="s">
        <v>36</v>
      </c>
    </row>
    <row r="15" spans="3:27" s="21" customFormat="1" ht="21.75" customHeight="1" x14ac:dyDescent="0.25">
      <c r="C15" s="54"/>
      <c r="D15" s="20" t="str">
        <f>IF(COUNTIF(T_QUINCAILLERIE_Paquet_Atelier[Paquet],$C15)&gt;0,"voir liste","non")</f>
        <v>non</v>
      </c>
      <c r="E15" s="20" t="str">
        <f>IF(COUNTIF(T_ZINGUERIE_Paquet_Atelier[Paquet],$C15)&gt;0,"voir liste","non")</f>
        <v>non</v>
      </c>
      <c r="F15" s="20" t="str">
        <f>IF(COUNTIF(T_PREPA_Paquet_Atelier[Paquet],$C15)&gt;0,"voir liste","non")</f>
        <v>non</v>
      </c>
      <c r="G15" s="17"/>
      <c r="H15" s="17"/>
      <c r="I15" s="18" t="s">
        <v>36</v>
      </c>
      <c r="J15" s="19"/>
      <c r="K15" s="19"/>
      <c r="L15" s="19"/>
      <c r="M15" s="19"/>
      <c r="N15" s="19"/>
      <c r="P15" s="53" t="str">
        <f>IF(COUNTIF(T_QUINCAILLERIE_Paquet_Chantier[Paquet],$C15)&gt;0,"voir liste","non")</f>
        <v>non</v>
      </c>
      <c r="Q15" s="20" t="str">
        <f>IF(COUNTIF(T_ZINGUERIE_Paquet_Chantier[Paquet],$C15)&gt;0,"voir liste","non")</f>
        <v>non</v>
      </c>
      <c r="R15" s="20" t="str">
        <f>IF(COUNTIF(T_PREPA_Paquet_Chantier[Paquet],$C15)&gt;0,"voir liste","non")</f>
        <v>non</v>
      </c>
      <c r="S15" s="17"/>
      <c r="T15" s="17"/>
      <c r="U15" s="18" t="s">
        <v>36</v>
      </c>
      <c r="V15" s="19"/>
      <c r="W15" s="19"/>
      <c r="X15" s="19"/>
      <c r="Y15" s="19"/>
      <c r="Z15" s="19"/>
      <c r="AA15" s="19"/>
    </row>
    <row r="16" spans="3:27" ht="27" customHeight="1" x14ac:dyDescent="0.35">
      <c r="C16" s="49"/>
      <c r="D16" s="24"/>
      <c r="E16" s="25"/>
      <c r="F16" s="25"/>
    </row>
    <row r="17" spans="4:8" ht="14.25" customHeight="1" x14ac:dyDescent="0.25">
      <c r="D17" s="37"/>
      <c r="E17" s="27" t="s">
        <v>32</v>
      </c>
      <c r="F17" s="26">
        <f>SUMIF(T_A_TRAITER[Classe],"CL3",T_A_TRAITER[Volume])</f>
        <v>0</v>
      </c>
      <c r="G17" s="27" t="s">
        <v>55</v>
      </c>
      <c r="H17" s="28">
        <f>SUMIFS(T_A_TRAITER[Volume],T_A_TRAITER[Finition],G17)</f>
        <v>0</v>
      </c>
    </row>
    <row r="18" spans="4:8" ht="14.25" customHeight="1" x14ac:dyDescent="0.25">
      <c r="D18" s="38"/>
      <c r="E18" s="23"/>
      <c r="F18" s="36"/>
      <c r="G18" s="36" t="s">
        <v>56</v>
      </c>
      <c r="H18" s="29">
        <f>SUMIFS(T_A_TRAITER[Volume],T_A_TRAITER[Finition],G18)</f>
        <v>0</v>
      </c>
    </row>
    <row r="19" spans="4:8" ht="14.25" customHeight="1" x14ac:dyDescent="0.25">
      <c r="D19" s="30"/>
      <c r="E19" s="39"/>
      <c r="F19" s="31"/>
      <c r="G19" s="31" t="s">
        <v>57</v>
      </c>
      <c r="H19" s="32">
        <f>SUMIFS(T_A_TRAITER[Volume],T_A_TRAITER[Finition],G19)</f>
        <v>0</v>
      </c>
    </row>
    <row r="20" spans="4:8" x14ac:dyDescent="0.25">
      <c r="D20" s="40"/>
      <c r="E20" s="41" t="s">
        <v>33</v>
      </c>
      <c r="F20" s="33">
        <f>SUMIF(T_A_TRAITER[Classe],"CL4",T_A_TRAITER[Volume])</f>
        <v>0</v>
      </c>
      <c r="G20" s="34"/>
      <c r="H20" s="35"/>
    </row>
  </sheetData>
  <sheetProtection sheet="1" objects="1" scenarios="1" formatCells="0" formatColumns="0" formatRows="0" insertRows="0" deleteRows="0" sort="0"/>
  <sortState xmlns:xlrd2="http://schemas.microsoft.com/office/spreadsheetml/2017/richdata2" ref="C12:O16">
    <sortCondition sortBy="cellColor" ref="C11:C16" dxfId="109"/>
  </sortState>
  <mergeCells count="15">
    <mergeCell ref="C3:C4"/>
    <mergeCell ref="L3:N3"/>
    <mergeCell ref="L4:N4"/>
    <mergeCell ref="G3:H3"/>
    <mergeCell ref="G4:H4"/>
    <mergeCell ref="I3:K4"/>
    <mergeCell ref="D3:E4"/>
    <mergeCell ref="J9:N9"/>
    <mergeCell ref="V9:AA9"/>
    <mergeCell ref="P3:Q4"/>
    <mergeCell ref="S3:T3"/>
    <mergeCell ref="Y3:AA3"/>
    <mergeCell ref="S4:T4"/>
    <mergeCell ref="Y4:AA4"/>
    <mergeCell ref="U3:X4"/>
  </mergeCells>
  <phoneticPr fontId="2" type="noConversion"/>
  <conditionalFormatting sqref="D12:N15">
    <cfRule type="cellIs" dxfId="108" priority="3" operator="equal">
      <formula>"oui"</formula>
    </cfRule>
    <cfRule type="cellIs" dxfId="107" priority="4" operator="equal">
      <formula>"non"</formula>
    </cfRule>
  </conditionalFormatting>
  <conditionalFormatting sqref="P12:AA15">
    <cfRule type="cellIs" dxfId="106" priority="1" operator="equal">
      <formula>"oui"</formula>
    </cfRule>
    <cfRule type="cellIs" dxfId="105" priority="2" operator="equal">
      <formula>"non"</formula>
    </cfRule>
  </conditionalFormatting>
  <dataValidations count="1">
    <dataValidation type="list" allowBlank="1" showInputMessage="1" sqref="P12:AA15 D12:N15" xr:uid="{871B6170-4C80-4083-A815-8DF9A898E8E0}">
      <formula1>"oui,non"</formula1>
    </dataValidation>
  </dataValidations>
  <printOptions horizontalCentered="1"/>
  <pageMargins left="0.25" right="0.25" top="0.75" bottom="0.75" header="0.3" footer="0.3"/>
  <pageSetup paperSize="8" scale="48" orientation="portrait" r:id="rId1"/>
  <headerFooter>
    <oddHeader>&amp;CPage &amp;P de &amp;N&amp;R&amp;"-,Gras"&amp;12&amp;D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AF1A-3A29-4F8F-AB0E-B842909FEFCF}">
  <sheetPr codeName="Feuil2">
    <pageSetUpPr fitToPage="1"/>
  </sheetPr>
  <dimension ref="B1:G28"/>
  <sheetViews>
    <sheetView showGridLine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4</v>
      </c>
      <c r="E2" s="15" t="s">
        <v>1</v>
      </c>
      <c r="F2" s="6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4" t="str">
        <f>Projet_ref</f>
        <v>--</v>
      </c>
      <c r="C4" s="84"/>
      <c r="D4" s="84"/>
      <c r="E4" s="84"/>
      <c r="F4" s="84"/>
      <c r="G4" s="84"/>
    </row>
    <row r="5" spans="2:7" x14ac:dyDescent="0.25">
      <c r="B5" s="85" t="str">
        <f>Projet_Adresse</f>
        <v>--</v>
      </c>
      <c r="C5" s="85"/>
      <c r="D5" s="85"/>
      <c r="E5" s="85"/>
      <c r="F5" s="85"/>
      <c r="G5" s="85"/>
    </row>
    <row r="6" spans="2:7" x14ac:dyDescent="0.25">
      <c r="B6" s="85" t="str">
        <f>Projet_CP_Ville</f>
        <v>--</v>
      </c>
      <c r="C6" s="85"/>
      <c r="D6" s="85"/>
      <c r="E6" s="85"/>
      <c r="F6" s="85"/>
      <c r="G6" s="85"/>
    </row>
    <row r="8" spans="2:7" ht="23.25" x14ac:dyDescent="0.35">
      <c r="B8" s="4" t="s">
        <v>12</v>
      </c>
    </row>
    <row r="9" spans="2:7" s="5" customFormat="1" ht="20.25" customHeight="1" x14ac:dyDescent="0.3">
      <c r="B9" s="5" t="s">
        <v>79</v>
      </c>
      <c r="C9" s="5" t="s">
        <v>5</v>
      </c>
      <c r="D9" s="5" t="s">
        <v>23</v>
      </c>
      <c r="E9" s="5" t="s">
        <v>6</v>
      </c>
      <c r="F9" s="5" t="s">
        <v>29</v>
      </c>
      <c r="G9" s="5" t="s">
        <v>43</v>
      </c>
    </row>
    <row r="10" spans="2:7" s="5" customFormat="1" ht="18.75" x14ac:dyDescent="0.3">
      <c r="B10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0" s="13"/>
      <c r="F10" s="14" t="s">
        <v>40</v>
      </c>
    </row>
    <row r="11" spans="2:7" s="5" customFormat="1" ht="18.75" x14ac:dyDescent="0.3">
      <c r="B11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1" s="13"/>
      <c r="F11" s="14" t="s">
        <v>41</v>
      </c>
    </row>
    <row r="12" spans="2:7" s="5" customFormat="1" ht="18.75" x14ac:dyDescent="0.3">
      <c r="B12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2" s="13"/>
      <c r="F12" s="14" t="s">
        <v>42</v>
      </c>
    </row>
    <row r="13" spans="2:7" s="5" customFormat="1" ht="18.75" x14ac:dyDescent="0.3">
      <c r="B13" s="5" t="str">
        <f>IF(   (COUNTIF(T_ELEMENTS_FERRURES[Element de],"*"&amp;LEFT(T_QUINCAILLERIE_Magasinier[[#This Row],[Désignation]],17))&gt;0)    * (T_QUINCAILLERIE_Magasinier[[#This Row],[Désignation]]&lt;&gt;""),"voir plan","")</f>
        <v/>
      </c>
      <c r="E13" s="13"/>
      <c r="F13" s="14"/>
    </row>
    <row r="15" spans="2:7" ht="23.25" x14ac:dyDescent="0.35">
      <c r="B15" s="4" t="s">
        <v>38</v>
      </c>
    </row>
    <row r="16" spans="2:7" s="5" customFormat="1" ht="20.25" customHeight="1" x14ac:dyDescent="0.3">
      <c r="B16" s="5" t="s">
        <v>9</v>
      </c>
      <c r="C16" s="5" t="s">
        <v>5</v>
      </c>
      <c r="D16" s="5" t="s">
        <v>23</v>
      </c>
      <c r="E16" s="5" t="s">
        <v>6</v>
      </c>
      <c r="F16" s="5" t="s">
        <v>29</v>
      </c>
      <c r="G16" s="5" t="s">
        <v>43</v>
      </c>
    </row>
    <row r="17" spans="2:7" s="5" customFormat="1" ht="18.75" x14ac:dyDescent="0.3">
      <c r="E17" s="13"/>
      <c r="F17" s="14" t="s">
        <v>40</v>
      </c>
    </row>
    <row r="18" spans="2:7" s="5" customFormat="1" ht="18.75" x14ac:dyDescent="0.3">
      <c r="E18" s="13"/>
      <c r="F18" s="14" t="s">
        <v>41</v>
      </c>
    </row>
    <row r="19" spans="2:7" s="5" customFormat="1" ht="18.75" x14ac:dyDescent="0.3">
      <c r="E19" s="13"/>
      <c r="F19" s="14" t="s">
        <v>42</v>
      </c>
    </row>
    <row r="20" spans="2:7" s="5" customFormat="1" ht="18.75" x14ac:dyDescent="0.3">
      <c r="E20" s="13"/>
      <c r="F20" s="14"/>
    </row>
    <row r="22" spans="2:7" ht="23.25" x14ac:dyDescent="0.35">
      <c r="B22" s="4" t="s">
        <v>39</v>
      </c>
    </row>
    <row r="23" spans="2:7" ht="20.25" customHeight="1" x14ac:dyDescent="0.3">
      <c r="B23" s="5" t="s">
        <v>9</v>
      </c>
      <c r="C23" s="5" t="s">
        <v>5</v>
      </c>
      <c r="D23" s="5" t="s">
        <v>23</v>
      </c>
      <c r="E23" s="5" t="s">
        <v>6</v>
      </c>
      <c r="F23" s="5" t="s">
        <v>29</v>
      </c>
      <c r="G23" s="5" t="s">
        <v>43</v>
      </c>
    </row>
    <row r="24" spans="2:7" ht="18.75" x14ac:dyDescent="0.3">
      <c r="B24" s="5"/>
      <c r="C24" s="5"/>
      <c r="D24" s="5"/>
      <c r="E24" s="13"/>
      <c r="F24" s="14" t="s">
        <v>40</v>
      </c>
      <c r="G24" s="5"/>
    </row>
    <row r="25" spans="2:7" ht="18.75" x14ac:dyDescent="0.3">
      <c r="B25" s="5"/>
      <c r="C25" s="5"/>
      <c r="D25" s="5"/>
      <c r="E25" s="13"/>
      <c r="F25" s="14" t="s">
        <v>41</v>
      </c>
      <c r="G25" s="5"/>
    </row>
    <row r="26" spans="2:7" ht="18.75" x14ac:dyDescent="0.3">
      <c r="B26" s="5"/>
      <c r="C26" s="5"/>
      <c r="D26" s="5"/>
      <c r="E26" s="13"/>
      <c r="F26" s="14" t="s">
        <v>42</v>
      </c>
      <c r="G26" s="5"/>
    </row>
    <row r="27" spans="2:7" ht="18.75" x14ac:dyDescent="0.3">
      <c r="B27" s="5"/>
      <c r="C27" s="5"/>
      <c r="D27" s="5"/>
      <c r="E27" s="13"/>
      <c r="F27" s="14"/>
      <c r="G27" s="5"/>
    </row>
    <row r="28" spans="2:7" ht="18.75" x14ac:dyDescent="0.3">
      <c r="B28" s="5"/>
      <c r="C28" s="5"/>
      <c r="D28" s="5"/>
      <c r="G28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61522-C177-46A3-A2B3-ACCD51CAB238}">
  <sheetPr codeName="Feuil9">
    <pageSetUpPr fitToPage="1"/>
  </sheetPr>
  <dimension ref="B1:G28"/>
  <sheetViews>
    <sheetView showGridLines="0" view="pageBreakPreview" zoomScaleNormal="100" zoomScaleSheetLayoutView="100" workbookViewId="0">
      <selection activeCell="B24" sqref="B24:G27"/>
    </sheetView>
  </sheetViews>
  <sheetFormatPr baseColWidth="10" defaultRowHeight="15" x14ac:dyDescent="0.25"/>
  <cols>
    <col min="1" max="1" width="41.5703125" customWidth="1"/>
    <col min="2" max="2" width="18.140625" customWidth="1"/>
    <col min="3" max="4" width="36.28515625" customWidth="1"/>
    <col min="6" max="6" width="4.85546875" bestFit="1" customWidth="1"/>
    <col min="7" max="7" width="8.42578125" bestFit="1" customWidth="1"/>
  </cols>
  <sheetData>
    <row r="1" spans="2:7" ht="19.5" customHeight="1" x14ac:dyDescent="0.25"/>
    <row r="2" spans="2:7" ht="28.5" x14ac:dyDescent="0.45">
      <c r="B2" s="3" t="s">
        <v>46</v>
      </c>
      <c r="E2" s="15" t="s">
        <v>1</v>
      </c>
      <c r="F2" s="6" t="str">
        <f>Projet_Suivi_par</f>
        <v>--</v>
      </c>
    </row>
    <row r="3" spans="2:7" ht="18.75" x14ac:dyDescent="0.3">
      <c r="E3" s="15" t="s">
        <v>2</v>
      </c>
      <c r="F3" s="12" t="str">
        <f>Projet_Conducteur</f>
        <v>--</v>
      </c>
    </row>
    <row r="4" spans="2:7" ht="33.75" x14ac:dyDescent="0.5">
      <c r="B4" s="84" t="str">
        <f>Projet_ref</f>
        <v>--</v>
      </c>
      <c r="C4" s="84"/>
      <c r="D4" s="84"/>
      <c r="E4" s="84"/>
      <c r="F4" s="84"/>
      <c r="G4" s="84"/>
    </row>
    <row r="5" spans="2:7" x14ac:dyDescent="0.25">
      <c r="B5" s="85" t="str">
        <f>Projet_Adresse</f>
        <v>--</v>
      </c>
      <c r="C5" s="85"/>
      <c r="D5" s="85"/>
      <c r="E5" s="85"/>
      <c r="F5" s="85"/>
      <c r="G5" s="85"/>
    </row>
    <row r="6" spans="2:7" x14ac:dyDescent="0.25">
      <c r="B6" s="85" t="str">
        <f>Projet_CP_Ville</f>
        <v>--</v>
      </c>
      <c r="C6" s="85"/>
      <c r="D6" s="85"/>
      <c r="E6" s="85"/>
      <c r="F6" s="85"/>
      <c r="G6" s="85"/>
    </row>
    <row r="8" spans="2:7" ht="23.25" x14ac:dyDescent="0.35">
      <c r="B8" s="4" t="s">
        <v>44</v>
      </c>
    </row>
    <row r="9" spans="2:7" s="5" customFormat="1" ht="20.25" customHeight="1" x14ac:dyDescent="0.3">
      <c r="C9" s="5" t="s">
        <v>5</v>
      </c>
      <c r="D9" s="5" t="s">
        <v>23</v>
      </c>
      <c r="E9" s="5" t="s">
        <v>6</v>
      </c>
      <c r="F9" s="5" t="s">
        <v>29</v>
      </c>
      <c r="G9" s="5" t="s">
        <v>43</v>
      </c>
    </row>
    <row r="10" spans="2:7" s="5" customFormat="1" ht="18.75" x14ac:dyDescent="0.3">
      <c r="E10" s="13"/>
      <c r="F10" s="14" t="s">
        <v>40</v>
      </c>
    </row>
    <row r="11" spans="2:7" s="5" customFormat="1" ht="18.75" x14ac:dyDescent="0.3">
      <c r="E11" s="13"/>
      <c r="F11" s="14" t="s">
        <v>41</v>
      </c>
    </row>
    <row r="12" spans="2:7" s="5" customFormat="1" ht="18.75" x14ac:dyDescent="0.3">
      <c r="E12" s="13"/>
      <c r="F12" s="14" t="s">
        <v>42</v>
      </c>
    </row>
    <row r="13" spans="2:7" s="5" customFormat="1" ht="18.75" x14ac:dyDescent="0.3">
      <c r="E13" s="13"/>
      <c r="F13" s="14"/>
    </row>
    <row r="15" spans="2:7" ht="23.25" x14ac:dyDescent="0.35">
      <c r="B15" s="4" t="s">
        <v>38</v>
      </c>
    </row>
    <row r="16" spans="2:7" s="5" customFormat="1" ht="20.25" customHeight="1" x14ac:dyDescent="0.3">
      <c r="B16" s="5" t="s">
        <v>9</v>
      </c>
      <c r="C16" s="5" t="s">
        <v>5</v>
      </c>
      <c r="D16" s="5" t="s">
        <v>23</v>
      </c>
      <c r="E16" s="5" t="s">
        <v>6</v>
      </c>
      <c r="F16" s="5" t="s">
        <v>29</v>
      </c>
      <c r="G16" s="5" t="s">
        <v>43</v>
      </c>
    </row>
    <row r="17" spans="2:7" s="5" customFormat="1" ht="18.75" x14ac:dyDescent="0.3">
      <c r="E17" s="13"/>
      <c r="F17" s="14" t="s">
        <v>40</v>
      </c>
    </row>
    <row r="18" spans="2:7" s="5" customFormat="1" ht="18.75" x14ac:dyDescent="0.3">
      <c r="E18" s="13"/>
      <c r="F18" s="14" t="s">
        <v>41</v>
      </c>
    </row>
    <row r="19" spans="2:7" s="5" customFormat="1" ht="18.75" x14ac:dyDescent="0.3">
      <c r="E19" s="13"/>
      <c r="F19" s="14" t="s">
        <v>42</v>
      </c>
    </row>
    <row r="20" spans="2:7" s="5" customFormat="1" ht="18.75" x14ac:dyDescent="0.3">
      <c r="E20" s="13"/>
      <c r="F20" s="14"/>
    </row>
    <row r="22" spans="2:7" ht="23.25" x14ac:dyDescent="0.35">
      <c r="B22" s="4" t="s">
        <v>39</v>
      </c>
    </row>
    <row r="23" spans="2:7" ht="20.25" customHeight="1" x14ac:dyDescent="0.3">
      <c r="B23" s="5" t="s">
        <v>9</v>
      </c>
      <c r="C23" s="5" t="s">
        <v>5</v>
      </c>
      <c r="D23" s="5" t="s">
        <v>23</v>
      </c>
      <c r="E23" s="5" t="s">
        <v>6</v>
      </c>
      <c r="F23" s="5" t="s">
        <v>29</v>
      </c>
      <c r="G23" s="5" t="s">
        <v>43</v>
      </c>
    </row>
    <row r="24" spans="2:7" ht="18.75" x14ac:dyDescent="0.3">
      <c r="B24" s="5"/>
      <c r="C24" s="5"/>
      <c r="D24" s="5"/>
      <c r="E24" s="13"/>
      <c r="F24" s="14" t="s">
        <v>40</v>
      </c>
      <c r="G24" s="5"/>
    </row>
    <row r="25" spans="2:7" ht="18.75" x14ac:dyDescent="0.3">
      <c r="B25" s="5"/>
      <c r="C25" s="5"/>
      <c r="D25" s="5"/>
      <c r="E25" s="13"/>
      <c r="F25" s="14" t="s">
        <v>41</v>
      </c>
      <c r="G25" s="5"/>
    </row>
    <row r="26" spans="2:7" ht="18.75" x14ac:dyDescent="0.3">
      <c r="B26" s="5"/>
      <c r="C26" s="5"/>
      <c r="D26" s="5"/>
      <c r="E26" s="13"/>
      <c r="F26" s="14" t="s">
        <v>42</v>
      </c>
      <c r="G26" s="5"/>
    </row>
    <row r="27" spans="2:7" ht="18.75" x14ac:dyDescent="0.3">
      <c r="B27" s="5"/>
      <c r="C27" s="5"/>
      <c r="D27" s="5"/>
      <c r="E27" s="13"/>
      <c r="F27" s="14"/>
      <c r="G27" s="5"/>
    </row>
    <row r="28" spans="2:7" ht="18.75" x14ac:dyDescent="0.3">
      <c r="B28" s="5"/>
      <c r="C28" s="5"/>
      <c r="D28" s="5"/>
      <c r="G28" s="5"/>
    </row>
  </sheetData>
  <mergeCells count="3">
    <mergeCell ref="B4:G4"/>
    <mergeCell ref="B5:G5"/>
    <mergeCell ref="B6:G6"/>
  </mergeCells>
  <pageMargins left="0.19685039370078741" right="0.23622047244094491" top="0.35433070866141736" bottom="0.35433070866141736" header="0.31496062992125984" footer="0.31496062992125984"/>
  <pageSetup paperSize="9" scale="86" fitToHeight="0" orientation="portrait" r:id="rId1"/>
  <rowBreaks count="2" manualBreakCount="2">
    <brk id="13" min="1" max="6" man="1"/>
    <brk id="20" min="1" max="6" man="1"/>
  </rowBreaks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A03E3-54F1-4063-AF2E-1F3C8B3A3722}">
  <sheetPr codeName="Feuil8">
    <pageSetUpPr fitToPage="1"/>
  </sheetPr>
  <dimension ref="B1:L25"/>
  <sheetViews>
    <sheetView showGridLines="0" view="pageBreakPreview" zoomScaleNormal="100" zoomScaleSheetLayoutView="100" workbookViewId="0">
      <selection activeCell="B10" sqref="B10"/>
    </sheetView>
  </sheetViews>
  <sheetFormatPr baseColWidth="10" defaultRowHeight="15" x14ac:dyDescent="0.25"/>
  <cols>
    <col min="1" max="1" width="41.5703125" customWidth="1"/>
    <col min="2" max="2" width="18.140625" customWidth="1"/>
    <col min="3" max="3" width="36.28515625" customWidth="1"/>
    <col min="4" max="4" width="11.7109375" customWidth="1"/>
    <col min="5" max="5" width="21.5703125" customWidth="1"/>
    <col min="6" max="6" width="22.42578125" customWidth="1"/>
    <col min="7" max="7" width="8.42578125" bestFit="1" customWidth="1"/>
  </cols>
  <sheetData>
    <row r="1" spans="2:12" ht="19.5" customHeight="1" x14ac:dyDescent="0.25"/>
    <row r="2" spans="2:12" ht="33.75" x14ac:dyDescent="0.5">
      <c r="B2" s="3" t="s">
        <v>45</v>
      </c>
      <c r="C2" s="84" t="str">
        <f>Projet_ref</f>
        <v>--</v>
      </c>
      <c r="D2" s="84"/>
      <c r="E2" s="84"/>
      <c r="F2" s="84"/>
      <c r="G2" s="84"/>
      <c r="H2" s="84"/>
      <c r="J2" s="15" t="s">
        <v>1</v>
      </c>
      <c r="K2" s="85" t="str">
        <f>Projet_Suivi_par</f>
        <v>--</v>
      </c>
      <c r="L2" s="85"/>
    </row>
    <row r="3" spans="2:12" ht="18.75" x14ac:dyDescent="0.3">
      <c r="C3" s="85" t="str">
        <f>Projet_Adresse</f>
        <v>--</v>
      </c>
      <c r="D3" s="85"/>
      <c r="E3" s="85"/>
      <c r="F3" s="85"/>
      <c r="G3" s="85"/>
      <c r="H3" s="85"/>
      <c r="J3" s="15" t="s">
        <v>2</v>
      </c>
      <c r="K3" s="86" t="str">
        <f>Projet_Conducteur</f>
        <v>--</v>
      </c>
      <c r="L3" s="86"/>
    </row>
    <row r="4" spans="2:12" x14ac:dyDescent="0.25">
      <c r="C4" s="85" t="str">
        <f>Projet_CP_Ville</f>
        <v>--</v>
      </c>
      <c r="D4" s="85"/>
      <c r="E4" s="85"/>
      <c r="F4" s="85"/>
      <c r="G4" s="85"/>
      <c r="H4" s="85"/>
    </row>
    <row r="5" spans="2:12" ht="23.25" x14ac:dyDescent="0.35">
      <c r="B5" s="4" t="s">
        <v>44</v>
      </c>
    </row>
    <row r="6" spans="2:12" s="5" customFormat="1" ht="20.25" customHeight="1" x14ac:dyDescent="0.3">
      <c r="C6" s="5" t="s">
        <v>5</v>
      </c>
      <c r="D6" s="16" t="s">
        <v>47</v>
      </c>
      <c r="E6" s="5" t="s">
        <v>23</v>
      </c>
      <c r="F6" s="5" t="s">
        <v>24</v>
      </c>
      <c r="G6" s="5" t="s">
        <v>25</v>
      </c>
      <c r="H6" s="5" t="s">
        <v>26</v>
      </c>
      <c r="I6" s="5" t="s">
        <v>48</v>
      </c>
      <c r="J6" s="5" t="s">
        <v>6</v>
      </c>
      <c r="K6" s="5" t="s">
        <v>29</v>
      </c>
      <c r="L6" s="5" t="s">
        <v>43</v>
      </c>
    </row>
    <row r="7" spans="2:12" s="5" customFormat="1" ht="18.75" x14ac:dyDescent="0.3">
      <c r="D7" s="16"/>
      <c r="J7" s="13"/>
      <c r="K7" s="14" t="s">
        <v>40</v>
      </c>
    </row>
    <row r="8" spans="2:12" s="5" customFormat="1" ht="18.75" x14ac:dyDescent="0.3">
      <c r="D8" s="16"/>
      <c r="J8" s="13"/>
      <c r="K8" s="14" t="s">
        <v>41</v>
      </c>
    </row>
    <row r="9" spans="2:12" s="5" customFormat="1" ht="18.75" x14ac:dyDescent="0.3">
      <c r="D9" s="16"/>
      <c r="J9" s="13"/>
      <c r="K9" s="14" t="s">
        <v>42</v>
      </c>
    </row>
    <row r="10" spans="2:12" s="5" customFormat="1" ht="18.75" x14ac:dyDescent="0.3">
      <c r="D10" s="16"/>
      <c r="J10" s="13"/>
      <c r="K10" s="14"/>
    </row>
    <row r="12" spans="2:12" ht="23.25" x14ac:dyDescent="0.35">
      <c r="B12" s="4" t="s">
        <v>38</v>
      </c>
    </row>
    <row r="13" spans="2:12" s="5" customFormat="1" ht="20.25" customHeight="1" x14ac:dyDescent="0.3">
      <c r="B13" s="5" t="s">
        <v>9</v>
      </c>
      <c r="C13" s="5" t="s">
        <v>5</v>
      </c>
      <c r="D13" s="16" t="s">
        <v>47</v>
      </c>
      <c r="E13" s="5" t="s">
        <v>23</v>
      </c>
      <c r="F13" s="5" t="s">
        <v>24</v>
      </c>
      <c r="G13" s="5" t="s">
        <v>25</v>
      </c>
      <c r="H13" s="5" t="s">
        <v>26</v>
      </c>
      <c r="I13" s="5" t="s">
        <v>48</v>
      </c>
      <c r="J13" s="5" t="s">
        <v>6</v>
      </c>
      <c r="K13" s="5" t="s">
        <v>49</v>
      </c>
      <c r="L13" s="5" t="s">
        <v>43</v>
      </c>
    </row>
    <row r="14" spans="2:12" s="5" customFormat="1" ht="18.75" x14ac:dyDescent="0.3">
      <c r="J14" s="13"/>
      <c r="K14" s="14" t="s">
        <v>40</v>
      </c>
    </row>
    <row r="15" spans="2:12" s="5" customFormat="1" ht="18.75" x14ac:dyDescent="0.3">
      <c r="J15" s="13"/>
      <c r="K15" s="14" t="s">
        <v>41</v>
      </c>
    </row>
    <row r="16" spans="2:12" s="5" customFormat="1" ht="18.75" x14ac:dyDescent="0.3">
      <c r="J16" s="13"/>
      <c r="K16" s="14" t="s">
        <v>42</v>
      </c>
    </row>
    <row r="17" spans="2:12" s="5" customFormat="1" ht="18.75" x14ac:dyDescent="0.3">
      <c r="J17" s="13"/>
      <c r="K17" s="14"/>
    </row>
    <row r="19" spans="2:12" ht="23.25" x14ac:dyDescent="0.35">
      <c r="B19" s="4" t="s">
        <v>39</v>
      </c>
    </row>
    <row r="20" spans="2:12" ht="20.25" customHeight="1" x14ac:dyDescent="0.3">
      <c r="B20" s="5" t="s">
        <v>9</v>
      </c>
      <c r="C20" s="5" t="s">
        <v>5</v>
      </c>
      <c r="D20" s="16" t="s">
        <v>47</v>
      </c>
      <c r="E20" s="5" t="s">
        <v>23</v>
      </c>
      <c r="F20" s="5" t="s">
        <v>24</v>
      </c>
      <c r="G20" s="5" t="s">
        <v>25</v>
      </c>
      <c r="H20" s="5" t="s">
        <v>26</v>
      </c>
      <c r="I20" s="5" t="s">
        <v>48</v>
      </c>
      <c r="J20" s="5" t="s">
        <v>6</v>
      </c>
      <c r="K20" s="5" t="s">
        <v>49</v>
      </c>
      <c r="L20" s="5" t="s">
        <v>43</v>
      </c>
    </row>
    <row r="21" spans="2:12" ht="18.75" x14ac:dyDescent="0.3">
      <c r="B21" s="5"/>
      <c r="C21" s="5"/>
      <c r="D21" s="5"/>
      <c r="E21" s="5"/>
      <c r="F21" s="5"/>
      <c r="G21" s="5"/>
      <c r="H21" s="5"/>
      <c r="I21" s="5"/>
      <c r="J21" s="13"/>
      <c r="K21" s="14" t="s">
        <v>40</v>
      </c>
      <c r="L21" s="5"/>
    </row>
    <row r="22" spans="2:12" ht="18.75" x14ac:dyDescent="0.3">
      <c r="B22" s="5"/>
      <c r="C22" s="5"/>
      <c r="D22" s="5"/>
      <c r="E22" s="5"/>
      <c r="F22" s="5"/>
      <c r="G22" s="5"/>
      <c r="H22" s="5"/>
      <c r="I22" s="5"/>
      <c r="J22" s="13"/>
      <c r="K22" s="14" t="s">
        <v>41</v>
      </c>
      <c r="L22" s="5"/>
    </row>
    <row r="23" spans="2:12" ht="18.75" x14ac:dyDescent="0.3">
      <c r="B23" s="5"/>
      <c r="C23" s="5"/>
      <c r="D23" s="5"/>
      <c r="E23" s="5"/>
      <c r="F23" s="5"/>
      <c r="G23" s="5"/>
      <c r="H23" s="5"/>
      <c r="I23" s="5"/>
      <c r="J23" s="13"/>
      <c r="K23" s="14" t="s">
        <v>42</v>
      </c>
      <c r="L23" s="5"/>
    </row>
    <row r="24" spans="2:12" ht="18.75" x14ac:dyDescent="0.3">
      <c r="B24" s="5"/>
      <c r="C24" s="5"/>
      <c r="D24" s="5"/>
      <c r="E24" s="5"/>
      <c r="F24" s="5"/>
      <c r="G24" s="5"/>
      <c r="H24" s="5"/>
      <c r="I24" s="5"/>
      <c r="J24" s="13"/>
      <c r="K24" s="14"/>
      <c r="L24" s="5"/>
    </row>
    <row r="25" spans="2:12" ht="18.75" x14ac:dyDescent="0.3">
      <c r="B25" s="5"/>
      <c r="C25" s="5"/>
      <c r="D25" s="5"/>
      <c r="G25" s="5"/>
    </row>
  </sheetData>
  <mergeCells count="5">
    <mergeCell ref="C2:H2"/>
    <mergeCell ref="C3:H3"/>
    <mergeCell ref="C4:H4"/>
    <mergeCell ref="K2:L2"/>
    <mergeCell ref="K3:L3"/>
  </mergeCells>
  <pageMargins left="0.19685039370078741" right="0.23622047244094491" top="0.35433070866141736" bottom="0.35433070866141736" header="0.31496062992125984" footer="0.31496062992125984"/>
  <pageSetup paperSize="9" scale="56" fitToHeight="0" orientation="portrait" r:id="rId1"/>
  <rowBreaks count="2" manualBreakCount="2">
    <brk id="10" min="1" max="11" man="1"/>
    <brk id="17" min="1" max="11" man="1"/>
  </rowBreaks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B4B3-88CA-425C-AA4E-2F6094241B20}">
  <sheetPr codeName="Feuil3">
    <pageSetUpPr fitToPage="1"/>
  </sheetPr>
  <dimension ref="B2:D17"/>
  <sheetViews>
    <sheetView view="pageBreakPreview" zoomScale="70" zoomScaleNormal="100" zoomScaleSheetLayoutView="70" workbookViewId="0">
      <selection activeCell="H25" sqref="H25"/>
    </sheetView>
  </sheetViews>
  <sheetFormatPr baseColWidth="10" defaultRowHeight="15" x14ac:dyDescent="0.25"/>
  <cols>
    <col min="2" max="2" width="131.28515625" customWidth="1"/>
    <col min="3" max="3" width="11.140625" customWidth="1"/>
    <col min="4" max="4" width="19.85546875" customWidth="1"/>
  </cols>
  <sheetData>
    <row r="2" spans="2:4" ht="15.75" thickBot="1" x14ac:dyDescent="0.3"/>
    <row r="3" spans="2:4" ht="132" customHeight="1" thickBot="1" x14ac:dyDescent="0.3">
      <c r="B3" s="87" t="str">
        <f>Projet_ref</f>
        <v>--</v>
      </c>
      <c r="C3" s="90" t="s">
        <v>13</v>
      </c>
      <c r="D3" s="91"/>
    </row>
    <row r="4" spans="2:4" ht="12.75" customHeight="1" thickBot="1" x14ac:dyDescent="0.3">
      <c r="B4" s="88"/>
      <c r="C4" s="9" t="s">
        <v>1</v>
      </c>
      <c r="D4" s="7" t="str">
        <f>Projet_Suivi_par</f>
        <v>--</v>
      </c>
    </row>
    <row r="5" spans="2:4" ht="15.75" customHeight="1" thickBot="1" x14ac:dyDescent="0.35">
      <c r="B5" s="89"/>
      <c r="C5" s="9" t="s">
        <v>2</v>
      </c>
      <c r="D5" s="8" t="str">
        <f>Projet_Conducteur</f>
        <v>--</v>
      </c>
    </row>
    <row r="6" spans="2:4" ht="6" customHeight="1" thickBot="1" x14ac:dyDescent="0.3"/>
    <row r="7" spans="2:4" ht="132" customHeight="1" thickBot="1" x14ac:dyDescent="0.3">
      <c r="B7" s="87" t="str">
        <f>Projet_ref</f>
        <v>--</v>
      </c>
      <c r="C7" s="90" t="s">
        <v>13</v>
      </c>
      <c r="D7" s="91"/>
    </row>
    <row r="8" spans="2:4" ht="12.75" customHeight="1" thickBot="1" x14ac:dyDescent="0.3">
      <c r="B8" s="88"/>
      <c r="C8" s="9" t="s">
        <v>1</v>
      </c>
      <c r="D8" s="7" t="str">
        <f>Projet_Suivi_par</f>
        <v>--</v>
      </c>
    </row>
    <row r="9" spans="2:4" ht="15.75" customHeight="1" thickBot="1" x14ac:dyDescent="0.35">
      <c r="B9" s="89"/>
      <c r="C9" s="9" t="s">
        <v>2</v>
      </c>
      <c r="D9" s="8" t="str">
        <f>Projet_Conducteur</f>
        <v>--</v>
      </c>
    </row>
    <row r="10" spans="2:4" ht="6" customHeight="1" thickBot="1" x14ac:dyDescent="0.3"/>
    <row r="11" spans="2:4" ht="132" customHeight="1" thickBot="1" x14ac:dyDescent="0.3">
      <c r="B11" s="87" t="str">
        <f>Projet_ref</f>
        <v>--</v>
      </c>
      <c r="C11" s="90" t="s">
        <v>13</v>
      </c>
      <c r="D11" s="91"/>
    </row>
    <row r="12" spans="2:4" ht="12.75" customHeight="1" thickBot="1" x14ac:dyDescent="0.3">
      <c r="B12" s="88"/>
      <c r="C12" s="9" t="s">
        <v>1</v>
      </c>
      <c r="D12" s="7" t="str">
        <f>Projet_Suivi_par</f>
        <v>--</v>
      </c>
    </row>
    <row r="13" spans="2:4" ht="15.75" customHeight="1" thickBot="1" x14ac:dyDescent="0.35">
      <c r="B13" s="89"/>
      <c r="C13" s="9" t="s">
        <v>2</v>
      </c>
      <c r="D13" s="8" t="str">
        <f>Projet_Conducteur</f>
        <v>--</v>
      </c>
    </row>
    <row r="14" spans="2:4" ht="6" customHeight="1" thickBot="1" x14ac:dyDescent="0.3"/>
    <row r="15" spans="2:4" ht="132" customHeight="1" thickBot="1" x14ac:dyDescent="0.3">
      <c r="B15" s="87" t="str">
        <f>Projet_ref</f>
        <v>--</v>
      </c>
      <c r="C15" s="90" t="s">
        <v>13</v>
      </c>
      <c r="D15" s="91"/>
    </row>
    <row r="16" spans="2:4" ht="12.75" customHeight="1" thickBot="1" x14ac:dyDescent="0.3">
      <c r="B16" s="88"/>
      <c r="C16" s="9" t="s">
        <v>1</v>
      </c>
      <c r="D16" s="7" t="str">
        <f>Projet_Suivi_par</f>
        <v>--</v>
      </c>
    </row>
    <row r="17" spans="2:4" ht="15.75" customHeight="1" thickBot="1" x14ac:dyDescent="0.35">
      <c r="B17" s="89"/>
      <c r="C17" s="9" t="s">
        <v>2</v>
      </c>
      <c r="D17" s="8" t="str">
        <f>Projet_Conducteur</f>
        <v>--</v>
      </c>
    </row>
  </sheetData>
  <mergeCells count="8">
    <mergeCell ref="B15:B17"/>
    <mergeCell ref="C15:D15"/>
    <mergeCell ref="B7:B9"/>
    <mergeCell ref="C7:D7"/>
    <mergeCell ref="B3:B5"/>
    <mergeCell ref="C3:D3"/>
    <mergeCell ref="B11:B13"/>
    <mergeCell ref="C11:D11"/>
  </mergeCells>
  <pageMargins left="0.23622047244094491" right="0.23622047244094491" top="0.19685039370078741" bottom="0.19685039370078741" header="0" footer="0"/>
  <pageSetup paperSize="9" scale="8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B217E-2BE1-47EA-B107-07106C3C1930}">
  <sheetPr codeName="Feuil4"/>
  <dimension ref="B2:E6"/>
  <sheetViews>
    <sheetView showGridLines="0" showRowColHeaders="0" view="pageBreakPreview" zoomScale="250" zoomScaleNormal="100" zoomScaleSheetLayoutView="250" workbookViewId="0">
      <selection activeCell="D11" sqref="D11"/>
    </sheetView>
  </sheetViews>
  <sheetFormatPr baseColWidth="10" defaultRowHeight="15" x14ac:dyDescent="0.25"/>
  <cols>
    <col min="2" max="2" width="11.5703125" customWidth="1"/>
    <col min="3" max="5" width="14.140625" customWidth="1"/>
  </cols>
  <sheetData>
    <row r="2" spans="2:5" x14ac:dyDescent="0.25">
      <c r="C2" t="s">
        <v>18</v>
      </c>
      <c r="D2" t="s">
        <v>19</v>
      </c>
      <c r="E2" t="s">
        <v>20</v>
      </c>
    </row>
    <row r="3" spans="2:5" x14ac:dyDescent="0.25">
      <c r="B3" t="s">
        <v>21</v>
      </c>
      <c r="C3" s="10">
        <v>6.5</v>
      </c>
      <c r="D3" s="10">
        <v>2.65</v>
      </c>
      <c r="E3" s="10">
        <f>4.5-0.08-0.05-1.4</f>
        <v>2.97</v>
      </c>
    </row>
    <row r="4" spans="2:5" x14ac:dyDescent="0.25">
      <c r="B4" t="s">
        <v>22</v>
      </c>
      <c r="C4" s="11">
        <v>7</v>
      </c>
      <c r="D4" s="11">
        <v>2.5</v>
      </c>
      <c r="E4" s="11">
        <f>4.3-0.1-0.1-0.7</f>
        <v>3.4000000000000004</v>
      </c>
    </row>
    <row r="6" spans="2:5" x14ac:dyDescent="0.25">
      <c r="B6" t="s">
        <v>14</v>
      </c>
      <c r="C6" t="s">
        <v>15</v>
      </c>
      <c r="D6" t="s">
        <v>16</v>
      </c>
      <c r="E6" t="s">
        <v>17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DBB1-4ADE-49EF-A1DD-BBAF9C605E05}">
  <sheetPr codeName="Feuil6"/>
  <dimension ref="B3:I24"/>
  <sheetViews>
    <sheetView showGridLines="0" showRowColHeaders="0" tabSelected="1" view="pageBreakPreview" zoomScale="145" zoomScaleNormal="100" zoomScaleSheetLayoutView="145" workbookViewId="0">
      <selection activeCell="I5" sqref="I5"/>
    </sheetView>
  </sheetViews>
  <sheetFormatPr baseColWidth="10" defaultRowHeight="15" x14ac:dyDescent="0.25"/>
  <cols>
    <col min="2" max="2" width="21.140625" customWidth="1"/>
    <col min="3" max="3" width="21.5703125" customWidth="1"/>
    <col min="5" max="5" width="13" customWidth="1"/>
    <col min="6" max="6" width="11.42578125" style="103"/>
    <col min="7" max="7" width="11.42578125" customWidth="1"/>
  </cols>
  <sheetData>
    <row r="3" spans="2:9" ht="28.5" x14ac:dyDescent="0.45">
      <c r="B3" s="3"/>
    </row>
    <row r="4" spans="2:9" ht="15.75" thickBot="1" x14ac:dyDescent="0.3"/>
    <row r="5" spans="2:9" ht="34.5" thickBot="1" x14ac:dyDescent="0.55000000000000004">
      <c r="B5" s="92" t="str">
        <f>Projet_ref</f>
        <v>--</v>
      </c>
      <c r="C5" s="93"/>
    </row>
    <row r="6" spans="2:9" ht="15.75" thickBot="1" x14ac:dyDescent="0.3">
      <c r="B6" s="94" t="str">
        <f>Projet_Adresse</f>
        <v>--</v>
      </c>
      <c r="C6" s="95"/>
      <c r="E6" s="2" t="s">
        <v>1</v>
      </c>
      <c r="F6" s="96" t="str">
        <f>Projet_Suivi_par</f>
        <v>--</v>
      </c>
      <c r="G6" s="97"/>
    </row>
    <row r="7" spans="2:9" ht="19.5" thickBot="1" x14ac:dyDescent="0.35">
      <c r="B7" s="98" t="str">
        <f>Projet_CP_Ville</f>
        <v>--</v>
      </c>
      <c r="C7" s="99"/>
      <c r="E7" s="2" t="s">
        <v>2</v>
      </c>
      <c r="F7" s="100" t="str">
        <f>Projet_Conducteur</f>
        <v>--</v>
      </c>
      <c r="G7" s="101"/>
    </row>
    <row r="9" spans="2:9" ht="23.25" x14ac:dyDescent="0.35">
      <c r="B9" s="4" t="s">
        <v>30</v>
      </c>
    </row>
    <row r="10" spans="2:9" ht="18.75" x14ac:dyDescent="0.3">
      <c r="B10" s="5" t="s">
        <v>9</v>
      </c>
      <c r="C10" s="5" t="s">
        <v>23</v>
      </c>
      <c r="D10" s="5" t="s">
        <v>25</v>
      </c>
      <c r="E10" s="5" t="s">
        <v>53</v>
      </c>
      <c r="F10" s="102" t="s">
        <v>31</v>
      </c>
      <c r="G10" s="5"/>
      <c r="H10" s="5"/>
      <c r="I10" s="5"/>
    </row>
    <row r="11" spans="2:9" ht="18.75" x14ac:dyDescent="0.3">
      <c r="B11" s="5"/>
      <c r="C11" s="5"/>
      <c r="D11" s="5"/>
      <c r="E11" s="5"/>
      <c r="F11" s="102"/>
      <c r="G11" s="5"/>
      <c r="H11" s="5"/>
      <c r="I11" s="5"/>
    </row>
    <row r="12" spans="2:9" ht="18.75" x14ac:dyDescent="0.3">
      <c r="B12" s="5"/>
      <c r="C12" s="5"/>
      <c r="D12" s="5"/>
      <c r="E12" s="5"/>
      <c r="F12" s="102"/>
      <c r="G12" s="5"/>
      <c r="H12" s="5"/>
      <c r="I12" s="5"/>
    </row>
    <row r="13" spans="2:9" ht="18.75" x14ac:dyDescent="0.3">
      <c r="B13" s="5"/>
      <c r="C13" s="5"/>
      <c r="D13" s="5"/>
      <c r="E13" s="5"/>
      <c r="F13" s="102"/>
    </row>
    <row r="14" spans="2:9" ht="18.75" x14ac:dyDescent="0.3">
      <c r="B14" s="5"/>
      <c r="C14" s="5"/>
      <c r="D14" s="5"/>
      <c r="E14" s="5"/>
      <c r="F14" s="102"/>
    </row>
    <row r="15" spans="2:9" ht="18.75" x14ac:dyDescent="0.3">
      <c r="B15" s="5"/>
      <c r="C15" s="5"/>
      <c r="D15" s="5"/>
      <c r="E15" s="5"/>
      <c r="F15" s="102"/>
    </row>
    <row r="16" spans="2:9" ht="18.75" x14ac:dyDescent="0.3">
      <c r="B16" s="5"/>
      <c r="C16" s="5"/>
      <c r="D16" s="5"/>
      <c r="E16" s="5"/>
    </row>
    <row r="17" spans="2:5" ht="18.75" x14ac:dyDescent="0.3">
      <c r="B17" s="5"/>
      <c r="C17" s="5"/>
      <c r="D17" s="5"/>
      <c r="E17" s="5"/>
    </row>
    <row r="18" spans="2:5" ht="18.75" x14ac:dyDescent="0.3">
      <c r="B18" s="5"/>
      <c r="C18" s="5"/>
      <c r="D18" s="5"/>
      <c r="E18" s="5"/>
    </row>
    <row r="19" spans="2:5" ht="18.75" x14ac:dyDescent="0.3">
      <c r="B19" s="5"/>
      <c r="C19" s="5"/>
      <c r="D19" s="5"/>
      <c r="E19" s="5"/>
    </row>
    <row r="20" spans="2:5" ht="18.75" x14ac:dyDescent="0.3">
      <c r="B20" s="5"/>
      <c r="C20" s="5"/>
      <c r="D20" s="5"/>
      <c r="E20" s="5"/>
    </row>
    <row r="21" spans="2:5" ht="18.75" x14ac:dyDescent="0.3">
      <c r="B21" s="5"/>
      <c r="C21" s="5"/>
      <c r="D21" s="5"/>
      <c r="E21" s="5"/>
    </row>
    <row r="22" spans="2:5" ht="18.75" x14ac:dyDescent="0.3">
      <c r="B22" s="5"/>
      <c r="C22" s="5"/>
      <c r="D22" s="5"/>
      <c r="E22" s="5"/>
    </row>
    <row r="23" spans="2:5" ht="18.75" x14ac:dyDescent="0.3">
      <c r="B23" s="5"/>
      <c r="C23" s="5"/>
      <c r="D23" s="5"/>
      <c r="E23" s="5"/>
    </row>
    <row r="24" spans="2:5" ht="18.75" x14ac:dyDescent="0.3">
      <c r="B24" s="5"/>
      <c r="C24" s="5"/>
      <c r="D24" s="5"/>
      <c r="E24" s="5"/>
    </row>
  </sheetData>
  <mergeCells count="5">
    <mergeCell ref="B5:C5"/>
    <mergeCell ref="B6:C6"/>
    <mergeCell ref="F6:G6"/>
    <mergeCell ref="B7:C7"/>
    <mergeCell ref="F7:G7"/>
  </mergeCells>
  <phoneticPr fontId="2" type="noConversion"/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AB323-836C-4263-B169-F0E2E235CD0E}">
  <sheetPr codeName="Feuil7"/>
  <dimension ref="C4:F15"/>
  <sheetViews>
    <sheetView showGridLines="0" showRowColHeaders="0" workbookViewId="0">
      <selection activeCell="C31" sqref="C31"/>
    </sheetView>
  </sheetViews>
  <sheetFormatPr baseColWidth="10" defaultRowHeight="15" x14ac:dyDescent="0.25"/>
  <cols>
    <col min="3" max="3" width="78" customWidth="1"/>
  </cols>
  <sheetData>
    <row r="4" spans="3:6" ht="18.75" x14ac:dyDescent="0.3">
      <c r="C4" s="5" t="s">
        <v>34</v>
      </c>
      <c r="D4" s="5" t="s">
        <v>28</v>
      </c>
      <c r="E4" s="5"/>
      <c r="F4" s="5"/>
    </row>
    <row r="5" spans="3:6" ht="18.75" x14ac:dyDescent="0.3">
      <c r="C5" s="5"/>
      <c r="D5" s="5" t="str">
        <f>IF(T_Question[[#This Row],[Questions]]="","","non")</f>
        <v/>
      </c>
      <c r="E5" s="5"/>
      <c r="F5" s="5"/>
    </row>
    <row r="6" spans="3:6" ht="18.75" x14ac:dyDescent="0.3">
      <c r="C6" s="5"/>
      <c r="D6" s="5" t="str">
        <f>IF(T_Question[[#This Row],[Questions]]="","","non")</f>
        <v/>
      </c>
      <c r="E6" s="5"/>
      <c r="F6" s="5"/>
    </row>
    <row r="13" spans="3:6" ht="18.75" x14ac:dyDescent="0.3">
      <c r="C13" s="5" t="s">
        <v>35</v>
      </c>
      <c r="D13" s="5" t="s">
        <v>28</v>
      </c>
      <c r="E13" s="5"/>
      <c r="F13" s="5"/>
    </row>
    <row r="14" spans="3:6" ht="18.75" x14ac:dyDescent="0.3">
      <c r="C14" s="5"/>
      <c r="D14" s="5" t="str">
        <f>IF(Tableau_Pense_bete[[#This Row],[Penses Bête]]="","","non")</f>
        <v/>
      </c>
      <c r="E14" s="5"/>
      <c r="F14" s="5"/>
    </row>
    <row r="15" spans="3:6" ht="18.75" x14ac:dyDescent="0.3">
      <c r="C15" s="5"/>
      <c r="D15" s="5" t="str">
        <f>IF(Tableau_Pense_bete[[#This Row],[Penses Bête]]="","","non")</f>
        <v/>
      </c>
      <c r="E15" s="5"/>
      <c r="F15" s="5"/>
    </row>
  </sheetData>
  <dataValidations count="2">
    <dataValidation type="list" allowBlank="1" showInputMessage="1" sqref="D6 D15" xr:uid="{28963FE9-831A-4584-A133-D00468EEB947}">
      <mc:AlternateContent xmlns:x12ac="http://schemas.microsoft.com/office/spreadsheetml/2011/1/ac" xmlns:mc="http://schemas.openxmlformats.org/markup-compatibility/2006">
        <mc:Choice Requires="x12ac">
          <x12ac:list>"""oui""","""non"""</x12ac:list>
        </mc:Choice>
        <mc:Fallback>
          <formula1>"""oui"",""non"""</formula1>
        </mc:Fallback>
      </mc:AlternateContent>
    </dataValidation>
    <dataValidation type="list" allowBlank="1" showInputMessage="1" sqref="D5 D14" xr:uid="{460EB2B7-62BA-48CC-94DB-06C64DE34C6A}">
      <formula1>"oui,non"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367BF-04CD-4861-A145-E483A24315B7}">
  <dimension ref="B3:E4"/>
  <sheetViews>
    <sheetView showGridLines="0" showRowColHeaders="0" workbookViewId="0">
      <selection activeCell="C14" sqref="C14"/>
    </sheetView>
  </sheetViews>
  <sheetFormatPr baseColWidth="10" defaultRowHeight="15" x14ac:dyDescent="0.25"/>
  <cols>
    <col min="2" max="2" width="25" customWidth="1"/>
    <col min="3" max="3" width="22.140625" customWidth="1"/>
  </cols>
  <sheetData>
    <row r="3" spans="2:5" x14ac:dyDescent="0.25">
      <c r="B3" t="s">
        <v>78</v>
      </c>
      <c r="C3" t="s">
        <v>5</v>
      </c>
      <c r="D3" s="6" t="s">
        <v>47</v>
      </c>
      <c r="E3" s="6" t="s">
        <v>6</v>
      </c>
    </row>
    <row r="4" spans="2:5" x14ac:dyDescent="0.25">
      <c r="B4" t="s">
        <v>77</v>
      </c>
      <c r="D4" s="6"/>
      <c r="E4" s="6"/>
    </row>
  </sheetData>
  <phoneticPr fontId="2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78</vt:i4>
      </vt:variant>
    </vt:vector>
  </HeadingPairs>
  <TitlesOfParts>
    <vt:vector size="87" baseType="lpstr">
      <vt:lpstr>ETAPES CHANTIER</vt:lpstr>
      <vt:lpstr>QUINCAILLERIE</vt:lpstr>
      <vt:lpstr>ZINGUERIE</vt:lpstr>
      <vt:lpstr>PREPA</vt:lpstr>
      <vt:lpstr>Etiquettes</vt:lpstr>
      <vt:lpstr>Dimension Murs et Caisson</vt:lpstr>
      <vt:lpstr>A TRAITER</vt:lpstr>
      <vt:lpstr>Questions et  Penses Bête</vt:lpstr>
      <vt:lpstr>ELEMENTS FERRURES</vt:lpstr>
      <vt:lpstr>A_TRAITER_SEMA</vt:lpstr>
      <vt:lpstr>Dimension_Hauteur_Max_Camion</vt:lpstr>
      <vt:lpstr>Dimension_Hauteur_Max_Remorque</vt:lpstr>
      <vt:lpstr>Dimension_Largeur_Max_Camion</vt:lpstr>
      <vt:lpstr>Dimension_Largeur_Max_Remorque</vt:lpstr>
      <vt:lpstr>Dimension_Longueur_Max_Camion</vt:lpstr>
      <vt:lpstr>Dimension_Longueur_Max_Remorque</vt:lpstr>
      <vt:lpstr>Dimension_Murs_et_Caisson_Données_SEMA</vt:lpstr>
      <vt:lpstr>PREPA!Dimension_Murs_et_Caisson_PAQUET_Epaisseur</vt:lpstr>
      <vt:lpstr>ZINGUERIE!Dimension_Murs_et_Caisson_PAQUET_Epaisseur</vt:lpstr>
      <vt:lpstr>Dimension_Murs_et_Caisson_PAQUET_Epaisseur</vt:lpstr>
      <vt:lpstr>PREPA!Dimension_Murs_et_Caisson_PAQUET_Largeur</vt:lpstr>
      <vt:lpstr>ZINGUERIE!Dimension_Murs_et_Caisson_PAQUET_Largeur</vt:lpstr>
      <vt:lpstr>Dimension_Murs_et_Caisson_PAQUET_Largeur</vt:lpstr>
      <vt:lpstr>PREPA!Dimension_Murs_et_Caisson_PAQUET_Longueur</vt:lpstr>
      <vt:lpstr>ZINGUERIE!Dimension_Murs_et_Caisson_PAQUET_Longueur</vt:lpstr>
      <vt:lpstr>Dimension_Murs_et_Caisson_PAQUET_Longueur</vt:lpstr>
      <vt:lpstr>ELEMENTS_FERRURES</vt:lpstr>
      <vt:lpstr>ETAPE_CHANTIER_PREMIER_LIGNE</vt:lpstr>
      <vt:lpstr>ETAPES_CHANTIER_Tableau</vt:lpstr>
      <vt:lpstr>'ETAPES CHANTIER'!Impression_des_titres</vt:lpstr>
      <vt:lpstr>PREPA!Impression_des_titres</vt:lpstr>
      <vt:lpstr>QUINCAILLERIE!Impression_des_titres</vt:lpstr>
      <vt:lpstr>ZINGUERIE!Impression_des_titres</vt:lpstr>
      <vt:lpstr>Liste_Paquets</vt:lpstr>
      <vt:lpstr>LISTE_SEMA</vt:lpstr>
      <vt:lpstr>Pense_bete_SEMA</vt:lpstr>
      <vt:lpstr>PREMIER_LIGNE_PREPA_ATELIER</vt:lpstr>
      <vt:lpstr>PREMIER_LIGNE_PREPA_CHANTIER</vt:lpstr>
      <vt:lpstr>PREMIER_LIGNE_QUINCAILLERIE_ATELIER</vt:lpstr>
      <vt:lpstr>PREMIER_LIGNE_QUINCAILLERIE_CHANTIER</vt:lpstr>
      <vt:lpstr>PREMIER_LIGNE_ZINGUERIE_ATELIER</vt:lpstr>
      <vt:lpstr>PREMIER_LIGNE_ZINGUERIE_CHANTIER</vt:lpstr>
      <vt:lpstr>PREMIER_LIGNE_ZONE_NON</vt:lpstr>
      <vt:lpstr>Projet_Adresse</vt:lpstr>
      <vt:lpstr>Projet_Conducteur</vt:lpstr>
      <vt:lpstr>Projet_CP_Ville</vt:lpstr>
      <vt:lpstr>Projet_ref</vt:lpstr>
      <vt:lpstr>Projet_Suivi_par</vt:lpstr>
      <vt:lpstr>Question_SEMA</vt:lpstr>
      <vt:lpstr>PREPA!QUINCAILLERIE_NB.SI_PAQUET</vt:lpstr>
      <vt:lpstr>ZINGUERIE!QUINCAILLERIE_NB.SI_PAQUET</vt:lpstr>
      <vt:lpstr>QUINCAILLERIE_NB.SI_PAQUET</vt:lpstr>
      <vt:lpstr>PREPA!T_PREPA_Goblal_ml</vt:lpstr>
      <vt:lpstr>PREPA!T_PREPA_Goblal_u</vt:lpstr>
      <vt:lpstr>PREPA!T_PREPA_Paquet_Atelier_m2</vt:lpstr>
      <vt:lpstr>PREPA!T_PREPA_Paquet_Atelier_ml</vt:lpstr>
      <vt:lpstr>PREPA!T_PREPA_Paquet_Atelier_u</vt:lpstr>
      <vt:lpstr>PREPA!T_PREPA_Paquet_Chantier_m2</vt:lpstr>
      <vt:lpstr>PREPA!T_PREPA_Paquet_Chantier_ml</vt:lpstr>
      <vt:lpstr>PREPA!T_PREPA_Paquet_Chantier_u</vt:lpstr>
      <vt:lpstr>T_QUINCAILLERIE_Magasinier_m2</vt:lpstr>
      <vt:lpstr>T_QUINCAILLERIE_Magasinier_ml</vt:lpstr>
      <vt:lpstr>T_QUINCAILLERIE_Magasinier_u</vt:lpstr>
      <vt:lpstr>T_QUINCAILLERIE_Paquet_Atelier_m2</vt:lpstr>
      <vt:lpstr>T_QUINCAILLERIE_Paquet_Atelier_ml</vt:lpstr>
      <vt:lpstr>T_QUINCAILLERIE_Paquet_Atelier_u</vt:lpstr>
      <vt:lpstr>T_QUINCAILLERIE_Paquet_Chantier_m2</vt:lpstr>
      <vt:lpstr>T_QUINCAILLERIE_Paquet_Chantier_ml</vt:lpstr>
      <vt:lpstr>T_QUINCAILLERIE_Paquet_Chantier_u</vt:lpstr>
      <vt:lpstr>ZINGUERIE!T_ZINGUERIE_Goblal_m2</vt:lpstr>
      <vt:lpstr>ZINGUERIE!T_ZINGUERIE_Goblal_ml</vt:lpstr>
      <vt:lpstr>ZINGUERIE!T_ZINGUERIE_Goblal_u</vt:lpstr>
      <vt:lpstr>ZINGUERIE!T_ZINGUERIE_Paquet_Atelier_m2</vt:lpstr>
      <vt:lpstr>ZINGUERIE!T_ZINGUERIE_Paquet_Atelier_ml</vt:lpstr>
      <vt:lpstr>ZINGUERIE!T_ZINGUERIE_Paquet_Atelier_u</vt:lpstr>
      <vt:lpstr>ZINGUERIE!T_ZINGUERIE_Paquet_Chantier_m2</vt:lpstr>
      <vt:lpstr>ZINGUERIE!T_ZINGUERIE_Paquet_Chantier_ml</vt:lpstr>
      <vt:lpstr>ZINGUERIE!T_ZINGUERIE_Paquet_Chantier_u</vt:lpstr>
      <vt:lpstr>ZONE_CHECK_LISTE_ATELIER</vt:lpstr>
      <vt:lpstr>ZONE_CHECK_LISTE_CHANTIER</vt:lpstr>
      <vt:lpstr>'A TRAITER'!Zone_d_impression</vt:lpstr>
      <vt:lpstr>'Dimension Murs et Caisson'!Zone_d_impression</vt:lpstr>
      <vt:lpstr>'ETAPES CHANTIER'!Zone_d_impression</vt:lpstr>
      <vt:lpstr>Etiquettes!Zone_d_impression</vt:lpstr>
      <vt:lpstr>PREPA!Zone_d_impression</vt:lpstr>
      <vt:lpstr>QUINCAILLERIE!Zone_d_impression</vt:lpstr>
      <vt:lpstr>ZINGUERIE!Zone_d_impression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Yannick MOTTAIS</dc:creator>
  <cp:lastModifiedBy>Philippe  ROLLAND</cp:lastModifiedBy>
  <cp:lastPrinted>2023-09-30T20:04:12Z</cp:lastPrinted>
  <dcterms:created xsi:type="dcterms:W3CDTF">2015-06-05T18:19:34Z</dcterms:created>
  <dcterms:modified xsi:type="dcterms:W3CDTF">2023-10-17T07:59:25Z</dcterms:modified>
</cp:coreProperties>
</file>