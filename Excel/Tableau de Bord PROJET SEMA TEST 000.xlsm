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1.xml" ContentType="application/vnd.openxmlformats-officedocument.spreadsheetml.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nnick\Bureau\Dashboard\ExportsSEMA\"/>
    </mc:Choice>
  </mc:AlternateContent>
  <xr:revisionPtr revIDLastSave="0" documentId="13_ncr:1_{C9C21850-B820-484D-9A5D-3A074AFAB4C0}" xr6:coauthVersionLast="47" xr6:coauthVersionMax="47" xr10:uidLastSave="{00000000-0000-0000-0000-000000000000}"/>
  <bookViews>
    <workbookView xWindow="-120" yWindow="-120" windowWidth="29040" windowHeight="15720" tabRatio="683" firstSheet="1" activeTab="1" xr2:uid="{00000000-000D-0000-FFFF-FFFF00000000}"/>
  </bookViews>
  <sheets>
    <sheet name="PARAMETRES" sheetId="11" state="hidden" r:id="rId1"/>
    <sheet name="ETAPES CHANTIER" sheetId="1" r:id="rId2"/>
    <sheet name="PREPA" sheetId="8" r:id="rId3"/>
    <sheet name="QUINCAILLERIE" sheetId="2" r:id="rId4"/>
    <sheet name="ZINGUERIE" sheetId="9" r:id="rId5"/>
    <sheet name="ELEMENTS FERRURES" sheetId="10" r:id="rId6"/>
    <sheet name="Dimension Murs et Caisson" sheetId="4" state="hidden" r:id="rId7"/>
    <sheet name="A TRAITER" sheetId="6" r:id="rId8"/>
    <sheet name="Questions et  Penses Bête" sheetId="7" r:id="rId9"/>
    <sheet name="Etiquettes" sheetId="3" r:id="rId10"/>
  </sheets>
  <functionGroups builtInGroupCount="19"/>
  <definedNames>
    <definedName name="_xlnm._FilterDatabase" localSheetId="1" hidden="1">'ETAPES CHANTIER'!#REF!</definedName>
    <definedName name="A_TRAITER_SEMA">'A TRAITER'!$B$11</definedName>
    <definedName name="C_COMPTES">T_COMPTES[COMPTES]</definedName>
    <definedName name="C_PROFILES">T_PROFILES[PROFILES]</definedName>
    <definedName name="Dimension_Hauteur_Max_Camion">'Dimension Murs et Caisson'!$E$3</definedName>
    <definedName name="Dimension_Hauteur_Max_Remorque">'Dimension Murs et Caisson'!$E$4</definedName>
    <definedName name="Dimension_Largeur_Max_Camion">'Dimension Murs et Caisson'!$D$3</definedName>
    <definedName name="Dimension_Largeur_Max_Remorque">'Dimension Murs et Caisson'!$D$4</definedName>
    <definedName name="Dimension_Longueur_Max_Camion">'Dimension Murs et Caisson'!$C$3</definedName>
    <definedName name="Dimension_Longueur_Max_Remorque">'Dimension Murs et Caisson'!$C$4</definedName>
    <definedName name="Dimension_Murs_et_Caisson_Données_SEMA">'Dimension Murs et Caisson'!$B$7</definedName>
    <definedName name="Dimension_Murs_et_Caisson_PAQUET_Epaisseur" localSheetId="2">T_Dimension_Murs_et_Caisson[Epaisseur]</definedName>
    <definedName name="Dimension_Murs_et_Caisson_PAQUET_Epaisseur" localSheetId="4">T_Dimension_Murs_et_Caisson[Epaisseur]</definedName>
    <definedName name="Dimension_Murs_et_Caisson_PAQUET_Epaisseur">T_Dimension_Murs_et_Caisson[Epaisseur]</definedName>
    <definedName name="Dimension_Murs_et_Caisson_PAQUET_Largeur" localSheetId="2">T_Dimension_Murs_et_Caisson[Largeur]</definedName>
    <definedName name="Dimension_Murs_et_Caisson_PAQUET_Largeur" localSheetId="4">T_Dimension_Murs_et_Caisson[Largeur]</definedName>
    <definedName name="Dimension_Murs_et_Caisson_PAQUET_Largeur">T_Dimension_Murs_et_Caisson[Largeur]</definedName>
    <definedName name="Dimension_Murs_et_Caisson_PAQUET_Longueur" localSheetId="2">T_Dimension_Murs_et_Caisson[Longueur]</definedName>
    <definedName name="Dimension_Murs_et_Caisson_PAQUET_Longueur" localSheetId="4">T_Dimension_Murs_et_Caisson[Longueur]</definedName>
    <definedName name="Dimension_Murs_et_Caisson_PAQUET_Longueur">T_Dimension_Murs_et_Caisson[Longueur]</definedName>
    <definedName name="ELEMENTS_FERRURES">T_ELEMENTS_FERRURES[Element de]</definedName>
    <definedName name="ETAPE_CHANTIER_PREMIER_LIGNE">'ETAPES CHANTIER'!#REF!</definedName>
    <definedName name="Etapes">'ETAPES CHANTIER'!#REF!</definedName>
    <definedName name="ETAPES_CHANTIER_Tableau">'ETAPES CHANTIER'!#REF!</definedName>
    <definedName name="_xlnm.Print_Titles" localSheetId="1">'ETAPES CHANTIER'!$3:$16</definedName>
    <definedName name="_xlnm.Print_Titles" localSheetId="2">PREPA!$2:$4</definedName>
    <definedName name="_xlnm.Print_Titles" localSheetId="3">QUINCAILLERIE!$2:$6</definedName>
    <definedName name="_xlnm.Print_Titles" localSheetId="4">ZINGUERIE!$2:$6</definedName>
    <definedName name="LIGNE_ID_Profile_Etape">'ETAPES CHANTIER'!$15:$15</definedName>
    <definedName name="LIGNE_Profile_Etape">'ETAPES CHANTIER'!$16:$16</definedName>
    <definedName name="Liste_Paquets">'ETAPES CHANTIER'!#REF!</definedName>
    <definedName name="LISTE_SEMA">TABLEAU_DE_BORD[PAQUETS]</definedName>
    <definedName name="Pense_bete_SEMA">'Questions et  Penses Bête'!$C$14</definedName>
    <definedName name="PREMIER_LIGNE_PREPA_ATELIER">'ETAPES CHANTIER'!#REF!</definedName>
    <definedName name="PREMIER_LIGNE_PREPA_CHANTIER">'ETAPES CHANTIER'!#REF!</definedName>
    <definedName name="PREMIER_LIGNE_QUINCAILLERIE_ATELIER">'ETAPES CHANTIER'!#REF!</definedName>
    <definedName name="PREMIER_LIGNE_QUINCAILLERIE_CHANTIER">'ETAPES CHANTIER'!#REF!</definedName>
    <definedName name="PREMIER_LIGNE_ZINGUERIE_ATELIER">'ETAPES CHANTIER'!#REF!</definedName>
    <definedName name="PREMIER_LIGNE_ZINGUERIE_CHANTIER">'ETAPES CHANTIER'!#REF!</definedName>
    <definedName name="PREMIER_LIGNE_ZONE_NON">'ETAPES CHANTIER'!#REF!,'ETAPES CHANTIER'!#REF!</definedName>
    <definedName name="Projet_Adresse">'ETAPES CHANTIER'!$I$3</definedName>
    <definedName name="Projet_Conducteur">'ETAPES CHANTIER'!$E$4</definedName>
    <definedName name="Projet_CP">'ETAPES CHANTIER'!$I$4</definedName>
    <definedName name="Projet_ref">'ETAPES CHANTIER'!$G$3</definedName>
    <definedName name="Projet_Suivi_par">'ETAPES CHANTIER'!$E$3</definedName>
    <definedName name="Projet_Ville">'ETAPES CHANTIER'!$J$4</definedName>
    <definedName name="Question_SEMA">'Questions et  Penses Bête'!$C$5</definedName>
    <definedName name="QUINCAILLERIE_NB.SI_PAQUET" localSheetId="2">T_PREPA_Paquet_Atelier[[#All],[Désignation]]</definedName>
    <definedName name="QUINCAILLERIE_NB.SI_PAQUET" localSheetId="4">T_PREPA_Paquet_Atelier[[#All],[Désignation]]</definedName>
    <definedName name="QUINCAILLERIE_NB.SI_PAQUET">T_QUINCAILLERIE_Paquet_Atelier[[#All],[Désignation]]</definedName>
    <definedName name="SEMADATA_A_TRAITER_A_TRAITER_SEMA_C">'A TRAITER'!$B$11:$F$11</definedName>
    <definedName name="SEMADATA_A_TRAITER_A_TRAITER_SEMA_D">'A TRAITER'!$B$11:$F$12</definedName>
    <definedName name="SEMADATA_ELEMENTS_FERRURES_ELEMENTS_FERRURES_C">'ELEMENTS FERRURES'!$B$4:$E$10</definedName>
    <definedName name="SEMADATA_ETAPES_CHANTIER_LISTE_SEMA_C">'ETAPES CHANTIER'!$B$18:$B$24</definedName>
    <definedName name="SEMADATA_PREPA_T_PREPA_Goblal_m2_C">PREPA!$C$10:$J$10</definedName>
    <definedName name="SEMADATA_PREPA_T_PREPA_Goblal_m2_D">PREPA!$C$10:$J$11</definedName>
    <definedName name="SEMADATA_PREPA_T_PREPA_Goblal_u_C">PREPA!$C$7:$J$7</definedName>
    <definedName name="SEMADATA_PREPA_T_PREPA_Goblal_u_D">PREPA!$C$8:$J$8</definedName>
    <definedName name="SEMADATA_PREPA_T_PREPA_Paquet_Atelier_m2_C">PREPA!$B$17:$J$17</definedName>
    <definedName name="SEMADATA_PREPA_T_PREPA_Paquet_Atelier_m2_D">PREPA!$B$18:$J$18</definedName>
    <definedName name="SEMADATA_PREPA_T_PREPA_Paquet_Atelier_u_C">PREPA!$B$15:$J$15</definedName>
    <definedName name="SEMADATA_PREPA_T_PREPA_Paquet_Atelier_u_D">PREPA!$B$15:$J$16</definedName>
    <definedName name="SEMADATA_QUINCAILLERIE_T_QUINCAILLERIE_Magasinier_u_C">QUINCAILLERIE!$C$10:$E$10</definedName>
    <definedName name="SEMADATA_QUINCAILLERIE_T_QUINCAILLERIE_Magasinier_u_D">QUINCAILLERIE!$C$11:$E$16</definedName>
    <definedName name="SEMADATA_QUINCAILLERIE_T_QUINCAILLERIE_Paquet_Atelier_u_C">QUINCAILLERIE!$B$23:$E$23</definedName>
    <definedName name="SEMADATA_QUINCAILLERIE_T_QUINCAILLERIE_Paquet_Atelier_u_D">QUINCAILLERIE!$B$24:$E$24</definedName>
    <definedName name="SEMADATA_QUINCAILLERIE_T_QUINCAILLERIE_Paquet_Chantier_u_C">QUINCAILLERIE!$B$31:$E$31</definedName>
    <definedName name="SEMADATA_QUINCAILLERIE_T_QUINCAILLERIE_Paquet_Chantier_u_D">QUINCAILLERIE!$B$32:$E$36</definedName>
    <definedName name="SEMADATA_ZINGUERIE_T_ZINGUERIE_Goblal_ml_C">ZINGUERIE!$C$11:$E$11</definedName>
    <definedName name="SEMADATA_ZINGUERIE_T_ZINGUERIE_Goblal_ml_D">ZINGUERIE!$C$11:$E$12</definedName>
    <definedName name="SEMADATA_ZINGUERIE_T_ZINGUERIE_Paquet_Chantier_ml_C">ZINGUERIE!$B$25:$E$25</definedName>
    <definedName name="SEMADATA_ZINGUERIE_T_ZINGUERIE_Paquet_Chantier_ml_D">ZINGUERIE!$B$25:$E$26</definedName>
    <definedName name="T_PREPA_Goblal_m2" localSheetId="2">PREPA!$C$10</definedName>
    <definedName name="T_PREPA_Goblal_ml" localSheetId="2">PREPA!$C$9</definedName>
    <definedName name="T_PREPA_Goblal_u" localSheetId="2">PREPA!$C$7</definedName>
    <definedName name="T_PREPA_Paquet_Atelier_m2" localSheetId="2">PREPA!$B$17</definedName>
    <definedName name="T_PREPA_Paquet_Atelier_ml" localSheetId="2">PREPA!$B$16</definedName>
    <definedName name="T_PREPA_Paquet_Atelier_u" localSheetId="2">PREPA!$B$15</definedName>
    <definedName name="T_PREPA_Paquet_Chantier_m2" localSheetId="2">PREPA!$B$25</definedName>
    <definedName name="T_PREPA_Paquet_Chantier_ml" localSheetId="2">PREPA!$B$24</definedName>
    <definedName name="T_PREPA_Paquet_Chantier_u" localSheetId="2">PREPA!$B$23</definedName>
    <definedName name="T_QUINCAILLERIE_Magasinier_m2">QUINCAILLERIE!$C$18</definedName>
    <definedName name="T_QUINCAILLERIE_Magasinier_ml">QUINCAILLERIE!$C$17</definedName>
    <definedName name="T_QUINCAILLERIE_Magasinier_u">QUINCAILLERIE!$C$10</definedName>
    <definedName name="T_QUINCAILLERIE_Paquet_Atelier_m2">QUINCAILLERIE!$B$26</definedName>
    <definedName name="T_QUINCAILLERIE_Paquet_Atelier_ml">QUINCAILLERIE!$B$25</definedName>
    <definedName name="T_QUINCAILLERIE_Paquet_Atelier_u">QUINCAILLERIE!$B$23</definedName>
    <definedName name="T_QUINCAILLERIE_Paquet_Chantier_m2">QUINCAILLERIE!$B$38</definedName>
    <definedName name="T_QUINCAILLERIE_Paquet_Chantier_ml">QUINCAILLERIE!$B$37</definedName>
    <definedName name="T_QUINCAILLERIE_Paquet_Chantier_u">QUINCAILLERIE!$B$31</definedName>
    <definedName name="T_ZINGUERIE_Goblal_m2" localSheetId="4">ZINGUERIE!$C$12</definedName>
    <definedName name="T_ZINGUERIE_Goblal_ml" localSheetId="4">ZINGUERIE!$C$11</definedName>
    <definedName name="T_ZINGUERIE_Goblal_u" localSheetId="4">ZINGUERIE!$C$10</definedName>
    <definedName name="T_ZINGUERIE_Paquet_Atelier_m2" localSheetId="4">ZINGUERIE!$B$19</definedName>
    <definedName name="T_ZINGUERIE_Paquet_Atelier_ml" localSheetId="4">ZINGUERIE!$B$18</definedName>
    <definedName name="T_ZINGUERIE_Paquet_Atelier_u" localSheetId="4">ZINGUERIE!$B$17</definedName>
    <definedName name="T_ZINGUERIE_Paquet_Chantier_m2" localSheetId="4">ZINGUERIE!$B$26</definedName>
    <definedName name="T_ZINGUERIE_Paquet_Chantier_ml" localSheetId="4">ZINGUERIE!$B$25</definedName>
    <definedName name="T_ZINGUERIE_Paquet_Chantier_u" localSheetId="4">ZINGUERIE!$B$24</definedName>
    <definedName name="ZONE_CHECK_LISTE_ATELIER">'ETAPES CHANTIER'!$C:$J</definedName>
    <definedName name="ZONE_CHECK_LISTE_CHANTIER">'ETAPES CHANTIER'!$K:$S</definedName>
    <definedName name="_xlnm.Print_Area" localSheetId="7">'A TRAITER'!$B$5:$G$12</definedName>
    <definedName name="_xlnm.Print_Area" localSheetId="6">'Dimension Murs et Caisson'!$B$2:$E$8</definedName>
    <definedName name="_xlnm.Print_Area" localSheetId="1">'ETAPES CHANTIER'!$B$3:$S$18</definedName>
    <definedName name="_xlnm.Print_Area" localSheetId="9">Etiquettes!$B$3:$D$17</definedName>
    <definedName name="_xlnm.Print_Area" localSheetId="2">PREPA!$B$2:$L$26</definedName>
    <definedName name="_xlnm.Print_Area" localSheetId="3">QUINCAILLERIE!$B$2:$G$39</definedName>
    <definedName name="_xlnm.Print_Area" localSheetId="4">ZINGUERIE!$B$2:$G$27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C21" i="1"/>
  <c r="D21" i="1"/>
  <c r="E21" i="1"/>
  <c r="F21" i="1"/>
  <c r="G21" i="1"/>
  <c r="J21" i="1"/>
  <c r="K21" i="1"/>
  <c r="L21" i="1"/>
  <c r="M21" i="1"/>
  <c r="N21" i="1"/>
  <c r="O21" i="1"/>
  <c r="P21" i="1"/>
  <c r="Q21" i="1"/>
  <c r="R21" i="1"/>
  <c r="S2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S18" i="1"/>
  <c r="S24" i="1"/>
  <c r="R18" i="1"/>
  <c r="R24" i="1"/>
  <c r="Q18" i="1"/>
  <c r="Q24" i="1"/>
  <c r="P18" i="1"/>
  <c r="P24" i="1"/>
  <c r="O18" i="1"/>
  <c r="O24" i="1"/>
  <c r="N18" i="1"/>
  <c r="N24" i="1"/>
  <c r="J18" i="1"/>
  <c r="J24" i="1"/>
  <c r="I18" i="1"/>
  <c r="I24" i="1"/>
  <c r="H18" i="1"/>
  <c r="H24" i="1"/>
  <c r="G18" i="1"/>
  <c r="G24" i="1"/>
  <c r="F18" i="1"/>
  <c r="F24" i="1"/>
  <c r="I15" i="1"/>
  <c r="H15" i="1"/>
  <c r="J15" i="1"/>
  <c r="C15" i="1"/>
  <c r="C18" i="1"/>
  <c r="D18" i="1"/>
  <c r="E18" i="1"/>
  <c r="K18" i="1"/>
  <c r="L18" i="1"/>
  <c r="M18" i="1"/>
  <c r="C24" i="1"/>
  <c r="D24" i="1"/>
  <c r="E24" i="1"/>
  <c r="K24" i="1"/>
  <c r="L24" i="1"/>
  <c r="M24" i="1"/>
  <c r="S15" i="1"/>
  <c r="R15" i="1"/>
  <c r="Q15" i="1"/>
  <c r="P15" i="1"/>
  <c r="O15" i="1"/>
  <c r="N15" i="1"/>
  <c r="M15" i="1"/>
  <c r="L15" i="1"/>
  <c r="K15" i="1"/>
  <c r="G15" i="1"/>
  <c r="F15" i="1"/>
  <c r="E15" i="1"/>
  <c r="D15" i="1"/>
  <c r="B17" i="2"/>
  <c r="B18" i="2"/>
  <c r="B19" i="2"/>
  <c r="Q4" i="1" l="1"/>
  <c r="Q3" i="1"/>
  <c r="O3" i="1"/>
  <c r="M4" i="1"/>
  <c r="M3" i="1"/>
  <c r="G11" i="1" l="1"/>
  <c r="G12" i="1"/>
  <c r="G13" i="1"/>
  <c r="B6" i="9" l="1"/>
  <c r="B5" i="9"/>
  <c r="B4" i="9"/>
  <c r="F3" i="9"/>
  <c r="F2" i="9"/>
  <c r="C4" i="8" l="1"/>
  <c r="C3" i="8"/>
  <c r="C2" i="8"/>
  <c r="K3" i="8"/>
  <c r="K2" i="8"/>
  <c r="E11" i="1" l="1"/>
  <c r="D14" i="7" l="1"/>
  <c r="D15" i="7"/>
  <c r="D5" i="7"/>
  <c r="D6" i="7"/>
  <c r="E3" i="4" l="1"/>
  <c r="E4" i="4" l="1"/>
  <c r="E14" i="1" l="1"/>
  <c r="F7" i="6"/>
  <c r="B7" i="6"/>
  <c r="F6" i="6"/>
  <c r="B6" i="6"/>
  <c r="B5" i="6"/>
  <c r="B11" i="3" l="1"/>
  <c r="D17" i="3"/>
  <c r="D16" i="3"/>
  <c r="B15" i="3"/>
  <c r="D13" i="3"/>
  <c r="D12" i="3"/>
  <c r="D9" i="3"/>
  <c r="D8" i="3"/>
  <c r="B7" i="3"/>
  <c r="D4" i="3"/>
  <c r="D5" i="3"/>
  <c r="B3" i="3"/>
  <c r="F3" i="2" l="1"/>
  <c r="F2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Yannick</author>
  </authors>
  <commentList>
    <comment ref="E3" authorId="0" shapeId="0" xr:uid="{B8FE1380-E6C7-4FC7-BC07-6F434358A92D}">
      <text>
        <r>
          <rPr>
            <sz val="9"/>
            <color indexed="81"/>
            <rFont val="Tahoma"/>
            <family val="2"/>
          </rPr>
          <t>= Hauteur pont
- ep. rack
- ep. calle
- hauteur plateau</t>
        </r>
      </text>
    </comment>
    <comment ref="E4" authorId="0" shapeId="0" xr:uid="{834D7CBF-C3B0-47B1-A927-047C068D6B9C}">
      <text>
        <r>
          <rPr>
            <sz val="9"/>
            <color indexed="81"/>
            <rFont val="Tahoma"/>
            <family val="2"/>
          </rPr>
          <t>= Hauteur pont
- ep. rack</t>
        </r>
        <r>
          <rPr>
            <sz val="9"/>
            <color indexed="81"/>
            <rFont val="Tahoma"/>
            <family val="2"/>
          </rPr>
          <t xml:space="preserve">
- ep. calle
- hauteur plateau</t>
        </r>
      </text>
    </comment>
  </commentList>
</comments>
</file>

<file path=xl/sharedStrings.xml><?xml version="1.0" encoding="utf-8"?>
<sst xmlns="http://schemas.openxmlformats.org/spreadsheetml/2006/main" count="344" uniqueCount="120">
  <si>
    <t>PAQUETS</t>
  </si>
  <si>
    <t>Suivi par :</t>
  </si>
  <si>
    <t>Conducteur :</t>
  </si>
  <si>
    <t>Etapes Chantier</t>
  </si>
  <si>
    <t>QUINCAILLERIE</t>
  </si>
  <si>
    <t>Désignation</t>
  </si>
  <si>
    <t>Qté</t>
  </si>
  <si>
    <t>Paquet</t>
  </si>
  <si>
    <t>Liste Magasinier</t>
  </si>
  <si>
    <t>/</t>
  </si>
  <si>
    <t>PAQUET</t>
  </si>
  <si>
    <t>Longueur</t>
  </si>
  <si>
    <t>Largeur</t>
  </si>
  <si>
    <t>Epaisseur</t>
  </si>
  <si>
    <t>Longueur Max</t>
  </si>
  <si>
    <t>Largeur Max</t>
  </si>
  <si>
    <t>Hauteur Max</t>
  </si>
  <si>
    <t>Camion</t>
  </si>
  <si>
    <t>Remorque</t>
  </si>
  <si>
    <t>Matériau</t>
  </si>
  <si>
    <t>Essence</t>
  </si>
  <si>
    <t>Classe</t>
  </si>
  <si>
    <t>Dimension</t>
  </si>
  <si>
    <t>Traité</t>
  </si>
  <si>
    <t>-</t>
  </si>
  <si>
    <t>Liste de bois à Traiter (Chez ORLO)</t>
  </si>
  <si>
    <t>Volume</t>
  </si>
  <si>
    <t>Total CL3 à Traiter</t>
  </si>
  <si>
    <t>Total CL4 à Traiter</t>
  </si>
  <si>
    <t>Questions</t>
  </si>
  <si>
    <t>Penses Bête</t>
  </si>
  <si>
    <t>Détail Paquet ATELIER</t>
  </si>
  <si>
    <t>Détail Paquet CHANTIER</t>
  </si>
  <si>
    <t>u</t>
  </si>
  <si>
    <t>ml</t>
  </si>
  <si>
    <t>m2</t>
  </si>
  <si>
    <t>Prêt</t>
  </si>
  <si>
    <t>PREPA Liste Globale</t>
  </si>
  <si>
    <t>PREPA</t>
  </si>
  <si>
    <t>ZINGUERIE</t>
  </si>
  <si>
    <t>N°</t>
  </si>
  <si>
    <t>Long.</t>
  </si>
  <si>
    <t xml:space="preserve"> </t>
  </si>
  <si>
    <t>Finition</t>
  </si>
  <si>
    <t>brun</t>
  </si>
  <si>
    <t>vert</t>
  </si>
  <si>
    <t>gris</t>
  </si>
  <si>
    <t>ATELIER</t>
  </si>
  <si>
    <t>CHANTIER</t>
  </si>
  <si>
    <t>Element de</t>
  </si>
  <si>
    <t>Assemblage</t>
  </si>
  <si>
    <t>Quincaillerie Atelier</t>
  </si>
  <si>
    <t>PROFILES</t>
  </si>
  <si>
    <t>Superviseur</t>
  </si>
  <si>
    <t>Bureau d'études</t>
  </si>
  <si>
    <t>Atelier Bois</t>
  </si>
  <si>
    <t>Atelier Zinguerie</t>
  </si>
  <si>
    <t>Magazin</t>
  </si>
  <si>
    <t>Chantier</t>
  </si>
  <si>
    <t>Chauffeur</t>
  </si>
  <si>
    <t>Conducteur travaux</t>
  </si>
  <si>
    <t>TABLEAU DE BORD</t>
  </si>
  <si>
    <t>COMPTES</t>
  </si>
  <si>
    <t>PW</t>
  </si>
  <si>
    <t>ID_Profil</t>
  </si>
  <si>
    <t>Tristan</t>
  </si>
  <si>
    <t>Didier</t>
  </si>
  <si>
    <t>Jordan</t>
  </si>
  <si>
    <t>ID</t>
  </si>
  <si>
    <t>Zinguerie Atelier</t>
  </si>
  <si>
    <t>Prépa. Atelier</t>
  </si>
  <si>
    <t>Quincaillerie Chantier</t>
  </si>
  <si>
    <t>Zinguerie Chantier</t>
  </si>
  <si>
    <t>Prépa. Chantier</t>
  </si>
  <si>
    <t>id_profil pour l'étape :</t>
  </si>
  <si>
    <t>Profil pour l'étape :</t>
  </si>
  <si>
    <t>pwTistan</t>
  </si>
  <si>
    <t>pwDidier</t>
  </si>
  <si>
    <t>pwJordan</t>
  </si>
  <si>
    <t>Taillé</t>
  </si>
  <si>
    <t>Assemblé en Atelier</t>
  </si>
  <si>
    <t>Contrôle Atelier</t>
  </si>
  <si>
    <t>Stocké</t>
  </si>
  <si>
    <t>Chargé</t>
  </si>
  <si>
    <t>Livré</t>
  </si>
  <si>
    <t>Posé</t>
  </si>
  <si>
    <t>Contrôle Chantier</t>
  </si>
  <si>
    <t>Fixé</t>
  </si>
  <si>
    <t>PROJET SEMA TEST</t>
  </si>
  <si>
    <t>rue de mon adresse</t>
  </si>
  <si>
    <t>12 345</t>
  </si>
  <si>
    <t>MA VILLE</t>
  </si>
  <si>
    <t>Yannick</t>
  </si>
  <si>
    <t/>
  </si>
  <si>
    <t>Fin. B00</t>
  </si>
  <si>
    <t>MOB A01</t>
  </si>
  <si>
    <t>MOB A02</t>
  </si>
  <si>
    <t>MOB B01</t>
  </si>
  <si>
    <t>MOB B02</t>
  </si>
  <si>
    <t>Pla. B01</t>
  </si>
  <si>
    <t>Str. A01</t>
  </si>
  <si>
    <t>Fibre de bois pré-enduite</t>
  </si>
  <si>
    <t>Fibre de bois Pre-</t>
  </si>
  <si>
    <t>Bardage Claire voie</t>
  </si>
  <si>
    <t>Claire-voie</t>
  </si>
  <si>
    <t>Boulon Ø16mm long.179mm</t>
  </si>
  <si>
    <t>Ecrou 24</t>
  </si>
  <si>
    <t>Ferrure X</t>
  </si>
  <si>
    <t>Acier Peinture Anti-rouille</t>
  </si>
  <si>
    <t>Pied de Poteau X</t>
  </si>
  <si>
    <t>Rondelle Ø 50mm</t>
  </si>
  <si>
    <t>SAE acier 2mm 76x152</t>
  </si>
  <si>
    <t>acier 2mm</t>
  </si>
  <si>
    <t>SAI acier 2mm 76x152</t>
  </si>
  <si>
    <t>Acier plat</t>
  </si>
  <si>
    <t>Profil carré</t>
  </si>
  <si>
    <t>Couvertine</t>
  </si>
  <si>
    <t>KVH</t>
  </si>
  <si>
    <t>CL3</t>
  </si>
  <si>
    <t>ATTENTION : Solivage apparent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</si>
</sst>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&quot; m&quot;"/>
    <numFmt numFmtId="165" formatCode="0.00&quot; m³&quot;"/>
    <numFmt numFmtId="166" formatCode="#\ ##0.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sz val="7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99FF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6" fillId="0" borderId="0" applyNumberFormat="0" applyFill="0" applyBorder="0" applyAlignment="0" applyProtection="0"/>
  </cellStyleXfs>
  <cellXfs count="104">
    <xf numFmtId="0" fontId="0" fillId="0" borderId="0" xfId="0"/>
    <xf numFmtId="0" fontId="22" fillId="0" borderId="0" xfId="1" applyFont="1" applyBorder="1" applyAlignment="1">
      <alignment horizontal="center" vertical="center"/>
    </xf>
    <xf numFmtId="0" fontId="4" fillId="0" borderId="6" xfId="0" applyFont="1" applyBorder="1" applyAlignment="1">
      <alignment horizontal="right"/>
    </xf>
    <xf numFmtId="0" fontId="7" fillId="0" borderId="0" xfId="0" applyFont="1"/>
    <xf numFmtId="0" fontId="6" fillId="0" borderId="0" xfId="3"/>
    <xf numFmtId="0" fontId="8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4" fillId="0" borderId="8" xfId="0" applyFont="1" applyBorder="1" applyAlignment="1">
      <alignment horizontal="right"/>
    </xf>
    <xf numFmtId="164" fontId="13" fillId="0" borderId="0" xfId="0" applyNumberFormat="1" applyFont="1"/>
    <xf numFmtId="164" fontId="0" fillId="3" borderId="0" xfId="0" applyNumberFormat="1" applyFill="1"/>
    <xf numFmtId="0" fontId="10" fillId="0" borderId="0" xfId="0" applyFont="1" applyAlignment="1">
      <alignment horizontal="center"/>
    </xf>
    <xf numFmtId="0" fontId="8" fillId="0" borderId="23" xfId="0" applyFont="1" applyBorder="1"/>
    <xf numFmtId="0" fontId="8" fillId="0" borderId="24" xfId="0" applyFont="1" applyBorder="1"/>
    <xf numFmtId="0" fontId="4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5" fillId="0" borderId="0" xfId="0" quotePrefix="1" applyFont="1" applyAlignment="1">
      <alignment vertical="top"/>
    </xf>
    <xf numFmtId="49" fontId="0" fillId="0" borderId="0" xfId="2" applyNumberFormat="1" applyFont="1" applyFill="1" applyBorder="1" applyAlignment="1" applyProtection="1">
      <alignment horizontal="left"/>
    </xf>
    <xf numFmtId="165" fontId="14" fillId="0" borderId="25" xfId="0" applyNumberFormat="1" applyFont="1" applyBorder="1" applyAlignment="1">
      <alignment vertical="center"/>
    </xf>
    <xf numFmtId="0" fontId="15" fillId="0" borderId="25" xfId="0" applyFont="1" applyBorder="1" applyAlignment="1">
      <alignment horizontal="right" vertical="center"/>
    </xf>
    <xf numFmtId="165" fontId="14" fillId="0" borderId="21" xfId="0" applyNumberFormat="1" applyFont="1" applyBorder="1" applyAlignment="1">
      <alignment vertical="center"/>
    </xf>
    <xf numFmtId="165" fontId="14" fillId="0" borderId="27" xfId="0" applyNumberFormat="1" applyFont="1" applyBorder="1" applyAlignment="1">
      <alignment vertical="center"/>
    </xf>
    <xf numFmtId="0" fontId="0" fillId="0" borderId="20" xfId="0" applyBorder="1"/>
    <xf numFmtId="0" fontId="15" fillId="0" borderId="28" xfId="0" applyFont="1" applyBorder="1" applyAlignment="1">
      <alignment horizontal="right" vertical="center"/>
    </xf>
    <xf numFmtId="165" fontId="14" fillId="0" borderId="19" xfId="0" applyNumberFormat="1" applyFont="1" applyBorder="1" applyAlignment="1">
      <alignment vertical="center"/>
    </xf>
    <xf numFmtId="165" fontId="14" fillId="0" borderId="17" xfId="0" applyNumberFormat="1" applyFont="1" applyBorder="1" applyAlignment="1">
      <alignment vertical="center"/>
    </xf>
    <xf numFmtId="0" fontId="0" fillId="0" borderId="17" xfId="0" applyBorder="1"/>
    <xf numFmtId="0" fontId="14" fillId="0" borderId="16" xfId="0" applyFont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0" fillId="0" borderId="22" xfId="0" applyBorder="1"/>
    <xf numFmtId="0" fontId="0" fillId="0" borderId="26" xfId="0" applyBorder="1"/>
    <xf numFmtId="0" fontId="0" fillId="0" borderId="28" xfId="0" applyBorder="1"/>
    <xf numFmtId="0" fontId="0" fillId="0" borderId="15" xfId="0" applyBorder="1"/>
    <xf numFmtId="0" fontId="15" fillId="0" borderId="17" xfId="0" applyFont="1" applyBorder="1" applyAlignment="1">
      <alignment horizontal="right" vertical="center"/>
    </xf>
    <xf numFmtId="0" fontId="3" fillId="0" borderId="0" xfId="1"/>
    <xf numFmtId="0" fontId="3" fillId="0" borderId="0" xfId="1" applyAlignment="1">
      <alignment vertical="top"/>
    </xf>
    <xf numFmtId="0" fontId="17" fillId="0" borderId="35" xfId="0" applyFont="1" applyBorder="1" applyAlignment="1">
      <alignment horizontal="right"/>
    </xf>
    <xf numFmtId="0" fontId="17" fillId="0" borderId="36" xfId="0" applyFont="1" applyBorder="1" applyAlignment="1">
      <alignment horizontal="right"/>
    </xf>
    <xf numFmtId="0" fontId="3" fillId="0" borderId="0" xfId="1" applyAlignment="1">
      <alignment horizontal="center" vertical="top"/>
    </xf>
    <xf numFmtId="2" fontId="8" fillId="0" borderId="0" xfId="0" applyNumberFormat="1" applyFont="1"/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3" fillId="0" borderId="0" xfId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0" fillId="0" borderId="38" xfId="0" applyNumberFormat="1" applyBorder="1" applyProtection="1">
      <protection locked="0"/>
    </xf>
    <xf numFmtId="49" fontId="0" fillId="0" borderId="34" xfId="0" applyNumberFormat="1" applyBorder="1" applyProtection="1">
      <protection locked="0"/>
    </xf>
    <xf numFmtId="0" fontId="14" fillId="0" borderId="0" xfId="0" applyFont="1" applyAlignment="1">
      <alignment horizontal="center"/>
    </xf>
    <xf numFmtId="0" fontId="14" fillId="0" borderId="0" xfId="1" applyFont="1" applyAlignment="1">
      <alignment horizontal="center"/>
    </xf>
    <xf numFmtId="0" fontId="3" fillId="0" borderId="0" xfId="1" applyAlignment="1">
      <alignment horizontal="right"/>
    </xf>
    <xf numFmtId="0" fontId="5" fillId="0" borderId="0" xfId="0" applyFont="1" applyAlignment="1">
      <alignment horizontal="center"/>
    </xf>
    <xf numFmtId="0" fontId="18" fillId="4" borderId="39" xfId="0" applyFont="1" applyFill="1" applyBorder="1" applyAlignment="1">
      <alignment horizontal="center" wrapText="1"/>
    </xf>
    <xf numFmtId="0" fontId="21" fillId="0" borderId="0" xfId="1" applyFont="1" applyAlignment="1">
      <alignment horizontal="center" vertical="center" wrapText="1"/>
    </xf>
    <xf numFmtId="0" fontId="0" fillId="5" borderId="0" xfId="0" applyFill="1"/>
    <xf numFmtId="0" fontId="19" fillId="6" borderId="0" xfId="1" applyFont="1" applyFill="1"/>
    <xf numFmtId="0" fontId="20" fillId="6" borderId="0" xfId="0" applyFont="1" applyFill="1"/>
    <xf numFmtId="49" fontId="8" fillId="0" borderId="0" xfId="0" applyNumberFormat="1" applyFont="1"/>
    <xf numFmtId="1" fontId="8" fillId="0" borderId="0" xfId="0" applyNumberFormat="1" applyFont="1" applyAlignment="1">
      <alignment horizontal="center"/>
    </xf>
    <xf numFmtId="166" fontId="8" fillId="0" borderId="0" xfId="0" applyNumberFormat="1" applyFont="1"/>
    <xf numFmtId="1" fontId="8" fillId="0" borderId="23" xfId="0" applyNumberFormat="1" applyFont="1" applyBorder="1"/>
    <xf numFmtId="1" fontId="8" fillId="0" borderId="0" xfId="0" applyNumberFormat="1" applyFont="1"/>
    <xf numFmtId="166" fontId="8" fillId="0" borderId="23" xfId="0" applyNumberFormat="1" applyFont="1" applyBorder="1"/>
    <xf numFmtId="49" fontId="0" fillId="0" borderId="0" xfId="0" applyNumberFormat="1"/>
    <xf numFmtId="1" fontId="0" fillId="0" borderId="0" xfId="0" applyNumberFormat="1" applyAlignment="1">
      <alignment horizontal="center"/>
    </xf>
    <xf numFmtId="49" fontId="5" fillId="0" borderId="31" xfId="0" applyNumberFormat="1" applyFont="1" applyBorder="1" applyProtection="1">
      <protection locked="0"/>
    </xf>
    <xf numFmtId="49" fontId="5" fillId="0" borderId="33" xfId="0" applyNumberFormat="1" applyFont="1" applyBorder="1" applyProtection="1">
      <protection locked="0"/>
    </xf>
    <xf numFmtId="49" fontId="5" fillId="0" borderId="32" xfId="0" applyNumberFormat="1" applyFont="1" applyBorder="1" applyProtection="1">
      <protection locked="0"/>
    </xf>
    <xf numFmtId="49" fontId="5" fillId="0" borderId="34" xfId="0" applyNumberFormat="1" applyFont="1" applyBorder="1" applyProtection="1">
      <protection locked="0"/>
    </xf>
    <xf numFmtId="49" fontId="0" fillId="0" borderId="37" xfId="0" applyNumberFormat="1" applyBorder="1" applyProtection="1">
      <protection locked="0"/>
    </xf>
    <xf numFmtId="49" fontId="0" fillId="0" borderId="33" xfId="0" applyNumberFormat="1" applyBorder="1" applyProtection="1">
      <protection locked="0"/>
    </xf>
    <xf numFmtId="49" fontId="10" fillId="0" borderId="11" xfId="0" applyNumberFormat="1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5" fillId="0" borderId="31" xfId="0" applyFont="1" applyBorder="1"/>
    <xf numFmtId="0" fontId="5" fillId="0" borderId="33" xfId="0" applyFont="1" applyBorder="1"/>
    <xf numFmtId="0" fontId="0" fillId="0" borderId="29" xfId="0" applyBorder="1"/>
    <xf numFmtId="0" fontId="5" fillId="0" borderId="32" xfId="0" applyFont="1" applyBorder="1"/>
    <xf numFmtId="0" fontId="5" fillId="0" borderId="34" xfId="0" applyFont="1" applyBorder="1"/>
    <xf numFmtId="0" fontId="0" fillId="0" borderId="30" xfId="0" applyBorder="1"/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2" fillId="0" borderId="13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9" fontId="3" fillId="5" borderId="0" xfId="1" applyNumberFormat="1" applyFont="1" applyFill="1" applyAlignment="1">
      <alignment horizontal="center" vertical="center"/>
    </xf>
    <xf numFmtId="49" fontId="3" fillId="7" borderId="0" xfId="1" applyNumberFormat="1" applyFont="1" applyFill="1" applyAlignment="1">
      <alignment horizontal="center" vertical="center"/>
    </xf>
    <xf numFmtId="49" fontId="3" fillId="8" borderId="0" xfId="1" applyNumberFormat="1" applyFont="1" applyFill="1" applyAlignment="1">
      <alignment horizontal="center" vertical="center"/>
    </xf>
    <xf numFmtId="49" fontId="3" fillId="9" borderId="0" xfId="1" applyNumberFormat="1" applyFont="1" applyFill="1" applyAlignment="1">
      <alignment horizontal="center" vertical="center"/>
    </xf>
    <xf numFmtId="49" fontId="3" fillId="10" borderId="0" xfId="1" applyNumberFormat="1" applyFont="1" applyFill="1" applyAlignment="1">
      <alignment horizontal="center" vertical="center"/>
    </xf>
  </cellXfs>
  <cellStyles count="4">
    <cellStyle name="NiveauColonne_1" xfId="1" builtinId="2" iLevel="0"/>
    <cellStyle name="Normal" xfId="0" builtinId="0"/>
    <cellStyle name="Note" xfId="2" builtinId="10"/>
    <cellStyle name="Titre" xfId="3" builtinId="15"/>
  </cellStyles>
  <dxfs count="131">
    <dxf>
      <fill>
        <patternFill patternType="solid">
          <fgColor rgb="FF000000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theme="1"/>
      </font>
      <fill>
        <patternFill patternType="solid">
          <fgColor indexed="64"/>
          <bgColor rgb="FFC8C8C8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 patternType="darkGray"/>
      </fill>
    </dxf>
    <dxf>
      <numFmt numFmtId="167" formatCode=";;;"/>
    </dxf>
    <dxf>
      <numFmt numFmtId="0" formatCode="General"/>
    </dxf>
  </dxfs>
  <tableStyles count="0" defaultTableStyle="TableStyleMedium2" defaultPivotStyle="PivotStyleLight16"/>
  <colors>
    <mruColors>
      <color rgb="FFDCDCDC"/>
      <color rgb="FFC8C8C8"/>
      <color rgb="FFFF99FF"/>
      <color rgb="FFFFCCCC"/>
      <color rgb="FFFF66FF"/>
      <color rgb="FFFF9999"/>
      <color rgb="FFFF8F8F"/>
      <color rgb="FF9A5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129508</xdr:colOff>
      <xdr:row>6</xdr:row>
      <xdr:rowOff>240935</xdr:rowOff>
    </xdr:from>
    <xdr:to>
      <xdr:col>1</xdr:col>
      <xdr:colOff>382636</xdr:colOff>
      <xdr:row>8</xdr:row>
      <xdr:rowOff>46627</xdr:rowOff>
    </xdr:to>
    <xdr:sp macro="[0]!Effacer" textlink="">
      <xdr:nvSpPr>
        <xdr:cNvPr id="9" name="Rectangle : en biseau 8">
          <a:extLst>
            <a:ext uri="{FF2B5EF4-FFF2-40B4-BE49-F238E27FC236}">
              <a16:creationId xmlns:a16="http://schemas.microsoft.com/office/drawing/2014/main" id="{E13D7B84-E304-4F4B-A610-4D2A42F03BA9}"/>
            </a:ext>
          </a:extLst>
        </xdr:cNvPr>
        <xdr:cNvSpPr>
          <a:spLocks/>
        </xdr:cNvSpPr>
      </xdr:nvSpPr>
      <xdr:spPr>
        <a:xfrm>
          <a:off x="290700" y="922339"/>
          <a:ext cx="253128" cy="216000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?</a:t>
          </a:r>
        </a:p>
      </xdr:txBody>
    </xdr:sp>
    <xdr:clientData fPrintsWithSheet="0"/>
  </xdr:twoCellAnchor>
  <xdr:twoCellAnchor editAs="absolute">
    <xdr:from>
      <xdr:col>1</xdr:col>
      <xdr:colOff>129508</xdr:colOff>
      <xdr:row>8</xdr:row>
      <xdr:rowOff>111953</xdr:rowOff>
    </xdr:from>
    <xdr:to>
      <xdr:col>1</xdr:col>
      <xdr:colOff>795130</xdr:colOff>
      <xdr:row>9</xdr:row>
      <xdr:rowOff>131884</xdr:rowOff>
    </xdr:to>
    <xdr:sp macro="[0]!TRI" textlink="">
      <xdr:nvSpPr>
        <xdr:cNvPr id="13" name="Rectangle : en biseau 12">
          <a:extLst>
            <a:ext uri="{FF2B5EF4-FFF2-40B4-BE49-F238E27FC236}">
              <a16:creationId xmlns:a16="http://schemas.microsoft.com/office/drawing/2014/main" id="{5786C76A-E61E-4CAE-9777-4B246FF15941}"/>
            </a:ext>
          </a:extLst>
        </xdr:cNvPr>
        <xdr:cNvSpPr/>
      </xdr:nvSpPr>
      <xdr:spPr>
        <a:xfrm>
          <a:off x="290700" y="1203665"/>
          <a:ext cx="665622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45555465">
                <a:custGeom>
                  <a:avLst/>
                  <a:gdLst>
                    <a:gd name="connsiteX0" fmla="*/ 20664 w 665622"/>
                    <a:gd name="connsiteY0" fmla="*/ 20664 h 216494"/>
                    <a:gd name="connsiteX1" fmla="*/ 644958 w 665622"/>
                    <a:gd name="connsiteY1" fmla="*/ 20664 h 216494"/>
                    <a:gd name="connsiteX2" fmla="*/ 644958 w 665622"/>
                    <a:gd name="connsiteY2" fmla="*/ 195830 h 216494"/>
                    <a:gd name="connsiteX3" fmla="*/ 20664 w 665622"/>
                    <a:gd name="connsiteY3" fmla="*/ 195830 h 216494"/>
                    <a:gd name="connsiteX4" fmla="*/ 20664 w 665622"/>
                    <a:gd name="connsiteY4" fmla="*/ 20664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44958 w 665622"/>
                    <a:gd name="connsiteY2" fmla="*/ 20664 h 216494"/>
                    <a:gd name="connsiteX3" fmla="*/ 20664 w 665622"/>
                    <a:gd name="connsiteY3" fmla="*/ 20664 h 216494"/>
                    <a:gd name="connsiteX4" fmla="*/ 0 w 665622"/>
                    <a:gd name="connsiteY4" fmla="*/ 0 h 216494"/>
                    <a:gd name="connsiteX0" fmla="*/ 0 w 665622"/>
                    <a:gd name="connsiteY0" fmla="*/ 216494 h 216494"/>
                    <a:gd name="connsiteX1" fmla="*/ 20664 w 665622"/>
                    <a:gd name="connsiteY1" fmla="*/ 195830 h 216494"/>
                    <a:gd name="connsiteX2" fmla="*/ 644958 w 665622"/>
                    <a:gd name="connsiteY2" fmla="*/ 195830 h 216494"/>
                    <a:gd name="connsiteX3" fmla="*/ 665622 w 665622"/>
                    <a:gd name="connsiteY3" fmla="*/ 216494 h 216494"/>
                    <a:gd name="connsiteX4" fmla="*/ 0 w 665622"/>
                    <a:gd name="connsiteY4" fmla="*/ 216494 h 216494"/>
                    <a:gd name="connsiteX0" fmla="*/ 0 w 665622"/>
                    <a:gd name="connsiteY0" fmla="*/ 0 h 216494"/>
                    <a:gd name="connsiteX1" fmla="*/ 20664 w 665622"/>
                    <a:gd name="connsiteY1" fmla="*/ 20664 h 216494"/>
                    <a:gd name="connsiteX2" fmla="*/ 20664 w 665622"/>
                    <a:gd name="connsiteY2" fmla="*/ 195830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0" fmla="*/ 665622 w 665622"/>
                    <a:gd name="connsiteY0" fmla="*/ 0 h 216494"/>
                    <a:gd name="connsiteX1" fmla="*/ 665622 w 665622"/>
                    <a:gd name="connsiteY1" fmla="*/ 216494 h 216494"/>
                    <a:gd name="connsiteX2" fmla="*/ 644958 w 665622"/>
                    <a:gd name="connsiteY2" fmla="*/ 195830 h 216494"/>
                    <a:gd name="connsiteX3" fmla="*/ 644958 w 665622"/>
                    <a:gd name="connsiteY3" fmla="*/ 20664 h 216494"/>
                    <a:gd name="connsiteX4" fmla="*/ 665622 w 665622"/>
                    <a:gd name="connsiteY4" fmla="*/ 0 h 216494"/>
                    <a:gd name="connsiteX0" fmla="*/ 0 w 665622"/>
                    <a:gd name="connsiteY0" fmla="*/ 0 h 216494"/>
                    <a:gd name="connsiteX1" fmla="*/ 665622 w 665622"/>
                    <a:gd name="connsiteY1" fmla="*/ 0 h 216494"/>
                    <a:gd name="connsiteX2" fmla="*/ 665622 w 665622"/>
                    <a:gd name="connsiteY2" fmla="*/ 216494 h 216494"/>
                    <a:gd name="connsiteX3" fmla="*/ 0 w 665622"/>
                    <a:gd name="connsiteY3" fmla="*/ 216494 h 216494"/>
                    <a:gd name="connsiteX4" fmla="*/ 0 w 665622"/>
                    <a:gd name="connsiteY4" fmla="*/ 0 h 216494"/>
                    <a:gd name="connsiteX5" fmla="*/ 20664 w 665622"/>
                    <a:gd name="connsiteY5" fmla="*/ 20664 h 216494"/>
                    <a:gd name="connsiteX6" fmla="*/ 644958 w 665622"/>
                    <a:gd name="connsiteY6" fmla="*/ 20664 h 216494"/>
                    <a:gd name="connsiteX7" fmla="*/ 644958 w 665622"/>
                    <a:gd name="connsiteY7" fmla="*/ 195830 h 216494"/>
                    <a:gd name="connsiteX8" fmla="*/ 20664 w 665622"/>
                    <a:gd name="connsiteY8" fmla="*/ 195830 h 216494"/>
                    <a:gd name="connsiteX9" fmla="*/ 20664 w 665622"/>
                    <a:gd name="connsiteY9" fmla="*/ 20664 h 216494"/>
                    <a:gd name="connsiteX10" fmla="*/ 0 w 665622"/>
                    <a:gd name="connsiteY10" fmla="*/ 0 h 216494"/>
                    <a:gd name="connsiteX11" fmla="*/ 20664 w 665622"/>
                    <a:gd name="connsiteY11" fmla="*/ 20664 h 216494"/>
                    <a:gd name="connsiteX12" fmla="*/ 0 w 665622"/>
                    <a:gd name="connsiteY12" fmla="*/ 216494 h 216494"/>
                    <a:gd name="connsiteX13" fmla="*/ 20664 w 665622"/>
                    <a:gd name="connsiteY13" fmla="*/ 195830 h 216494"/>
                    <a:gd name="connsiteX14" fmla="*/ 665622 w 665622"/>
                    <a:gd name="connsiteY14" fmla="*/ 0 h 216494"/>
                    <a:gd name="connsiteX15" fmla="*/ 644958 w 665622"/>
                    <a:gd name="connsiteY15" fmla="*/ 20664 h 216494"/>
                    <a:gd name="connsiteX16" fmla="*/ 665622 w 665622"/>
                    <a:gd name="connsiteY16" fmla="*/ 216494 h 216494"/>
                    <a:gd name="connsiteX17" fmla="*/ 644958 w 665622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665622" h="216494" stroke="0" extrusionOk="0">
                      <a:moveTo>
                        <a:pt x="20664" y="20664"/>
                      </a:moveTo>
                      <a:cubicBezTo>
                        <a:pt x="283410" y="8607"/>
                        <a:pt x="335055" y="69148"/>
                        <a:pt x="644958" y="20664"/>
                      </a:cubicBezTo>
                      <a:cubicBezTo>
                        <a:pt x="632921" y="75167"/>
                        <a:pt x="652904" y="127791"/>
                        <a:pt x="644958" y="195830"/>
                      </a:cubicBezTo>
                      <a:cubicBezTo>
                        <a:pt x="520044" y="230692"/>
                        <a:pt x="326604" y="168982"/>
                        <a:pt x="20664" y="195830"/>
                      </a:cubicBezTo>
                      <a:cubicBezTo>
                        <a:pt x="30523" y="166045"/>
                        <a:pt x="32308" y="99583"/>
                        <a:pt x="20664" y="20664"/>
                      </a:cubicBezTo>
                      <a:close/>
                    </a:path>
                    <a:path w="665622" h="216494" fill="lightenLess" stroke="0" extrusionOk="0">
                      <a:moveTo>
                        <a:pt x="0" y="0"/>
                      </a:moveTo>
                      <a:cubicBezTo>
                        <a:pt x="265294" y="-27160"/>
                        <a:pt x="369998" y="45606"/>
                        <a:pt x="665622" y="0"/>
                      </a:cubicBezTo>
                      <a:cubicBezTo>
                        <a:pt x="658870" y="3910"/>
                        <a:pt x="650061" y="18369"/>
                        <a:pt x="644958" y="20664"/>
                      </a:cubicBezTo>
                      <a:cubicBezTo>
                        <a:pt x="365226" y="10142"/>
                        <a:pt x="164121" y="-27523"/>
                        <a:pt x="20664" y="20664"/>
                      </a:cubicBezTo>
                      <a:cubicBezTo>
                        <a:pt x="16629" y="13963"/>
                        <a:pt x="8456" y="7785"/>
                        <a:pt x="0" y="0"/>
                      </a:cubicBezTo>
                      <a:close/>
                    </a:path>
                    <a:path w="665622" h="216494" fill="darkenLess" stroke="0" extrusionOk="0">
                      <a:moveTo>
                        <a:pt x="0" y="216494"/>
                      </a:moveTo>
                      <a:cubicBezTo>
                        <a:pt x="3783" y="212456"/>
                        <a:pt x="15112" y="199723"/>
                        <a:pt x="20664" y="195830"/>
                      </a:cubicBezTo>
                      <a:cubicBezTo>
                        <a:pt x="232492" y="186038"/>
                        <a:pt x="416249" y="219360"/>
                        <a:pt x="644958" y="195830"/>
                      </a:cubicBezTo>
                      <a:cubicBezTo>
                        <a:pt x="650914" y="202426"/>
                        <a:pt x="656416" y="207806"/>
                        <a:pt x="665622" y="216494"/>
                      </a:cubicBezTo>
                      <a:cubicBezTo>
                        <a:pt x="525858" y="220472"/>
                        <a:pt x="183288" y="222729"/>
                        <a:pt x="0" y="216494"/>
                      </a:cubicBezTo>
                      <a:close/>
                    </a:path>
                    <a:path w="665622" h="216494" fill="lighten" stroke="0" extrusionOk="0">
                      <a:moveTo>
                        <a:pt x="0" y="0"/>
                      </a:moveTo>
                      <a:cubicBezTo>
                        <a:pt x="1014" y="3838"/>
                        <a:pt x="14648" y="17684"/>
                        <a:pt x="20664" y="20664"/>
                      </a:cubicBezTo>
                      <a:cubicBezTo>
                        <a:pt x="7975" y="67050"/>
                        <a:pt x="8334" y="128696"/>
                        <a:pt x="20664" y="195830"/>
                      </a:cubicBezTo>
                      <a:cubicBezTo>
                        <a:pt x="11689" y="206404"/>
                        <a:pt x="5237" y="212503"/>
                        <a:pt x="0" y="216494"/>
                      </a:cubicBezTo>
                      <a:cubicBezTo>
                        <a:pt x="2733" y="186055"/>
                        <a:pt x="-5702" y="101474"/>
                        <a:pt x="0" y="0"/>
                      </a:cubicBezTo>
                      <a:close/>
                    </a:path>
                    <a:path w="665622" h="216494" fill="darken" stroke="0" extrusionOk="0">
                      <a:moveTo>
                        <a:pt x="665622" y="0"/>
                      </a:moveTo>
                      <a:cubicBezTo>
                        <a:pt x="654151" y="30168"/>
                        <a:pt x="683905" y="109487"/>
                        <a:pt x="665622" y="216494"/>
                      </a:cubicBezTo>
                      <a:cubicBezTo>
                        <a:pt x="663014" y="212769"/>
                        <a:pt x="649909" y="202343"/>
                        <a:pt x="644958" y="195830"/>
                      </a:cubicBezTo>
                      <a:cubicBezTo>
                        <a:pt x="637599" y="151677"/>
                        <a:pt x="650692" y="93401"/>
                        <a:pt x="644958" y="20664"/>
                      </a:cubicBezTo>
                      <a:cubicBezTo>
                        <a:pt x="649806" y="18089"/>
                        <a:pt x="654548" y="7468"/>
                        <a:pt x="665622" y="0"/>
                      </a:cubicBezTo>
                      <a:close/>
                    </a:path>
                    <a:path w="665622" h="216494" fill="none" extrusionOk="0">
                      <a:moveTo>
                        <a:pt x="0" y="0"/>
                      </a:moveTo>
                      <a:cubicBezTo>
                        <a:pt x="269149" y="-40940"/>
                        <a:pt x="412118" y="-51847"/>
                        <a:pt x="665622" y="0"/>
                      </a:cubicBezTo>
                      <a:cubicBezTo>
                        <a:pt x="651545" y="53936"/>
                        <a:pt x="664855" y="118352"/>
                        <a:pt x="665622" y="216494"/>
                      </a:cubicBezTo>
                      <a:cubicBezTo>
                        <a:pt x="589410" y="171149"/>
                        <a:pt x="275541" y="249170"/>
                        <a:pt x="0" y="216494"/>
                      </a:cubicBezTo>
                      <a:cubicBezTo>
                        <a:pt x="-4438" y="194602"/>
                        <a:pt x="12637" y="72235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8238" y="57595"/>
                        <a:pt x="442621" y="-34664"/>
                        <a:pt x="644958" y="20664"/>
                      </a:cubicBezTo>
                      <a:cubicBezTo>
                        <a:pt x="639250" y="87916"/>
                        <a:pt x="658478" y="132382"/>
                        <a:pt x="644958" y="195830"/>
                      </a:cubicBezTo>
                      <a:cubicBezTo>
                        <a:pt x="448815" y="147544"/>
                        <a:pt x="241712" y="174024"/>
                        <a:pt x="20664" y="195830"/>
                      </a:cubicBezTo>
                      <a:cubicBezTo>
                        <a:pt x="29333" y="164505"/>
                        <a:pt x="24363" y="94956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5677" y="8133"/>
                        <a:pt x="10493" y="12733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7833" y="207625"/>
                        <a:pt x="17285" y="201865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5898" y="9625"/>
                        <a:pt x="650306" y="12484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62966" y="212389"/>
                        <a:pt x="652917" y="205744"/>
                        <a:pt x="644958" y="195830"/>
                      </a:cubicBezTo>
                    </a:path>
                    <a:path w="665622" h="216494" fill="none" stroke="0" extrusionOk="0">
                      <a:moveTo>
                        <a:pt x="0" y="0"/>
                      </a:moveTo>
                      <a:cubicBezTo>
                        <a:pt x="93510" y="-20294"/>
                        <a:pt x="407796" y="-43235"/>
                        <a:pt x="665622" y="0"/>
                      </a:cubicBezTo>
                      <a:cubicBezTo>
                        <a:pt x="680161" y="81179"/>
                        <a:pt x="669006" y="177678"/>
                        <a:pt x="665622" y="216494"/>
                      </a:cubicBezTo>
                      <a:cubicBezTo>
                        <a:pt x="461708" y="231029"/>
                        <a:pt x="72674" y="242549"/>
                        <a:pt x="0" y="216494"/>
                      </a:cubicBezTo>
                      <a:cubicBezTo>
                        <a:pt x="-9972" y="189680"/>
                        <a:pt x="15622" y="105909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04755" y="-766"/>
                        <a:pt x="356839" y="-23942"/>
                        <a:pt x="644958" y="20664"/>
                      </a:cubicBezTo>
                      <a:cubicBezTo>
                        <a:pt x="638223" y="69776"/>
                        <a:pt x="656268" y="112929"/>
                        <a:pt x="644958" y="195830"/>
                      </a:cubicBezTo>
                      <a:cubicBezTo>
                        <a:pt x="561772" y="174941"/>
                        <a:pt x="296795" y="147954"/>
                        <a:pt x="20664" y="195830"/>
                      </a:cubicBezTo>
                      <a:cubicBezTo>
                        <a:pt x="11197" y="118482"/>
                        <a:pt x="13365" y="63504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6071" y="9408"/>
                        <a:pt x="17802" y="1603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9651" y="208224"/>
                        <a:pt x="13106" y="206312"/>
                        <a:pt x="20664" y="195830"/>
                      </a:cubicBezTo>
                      <a:moveTo>
                        <a:pt x="665622" y="0"/>
                      </a:moveTo>
                      <a:cubicBezTo>
                        <a:pt x="657540" y="11404"/>
                        <a:pt x="647020" y="16418"/>
                        <a:pt x="644958" y="20664"/>
                      </a:cubicBezTo>
                      <a:moveTo>
                        <a:pt x="665622" y="216494"/>
                      </a:moveTo>
                      <a:cubicBezTo>
                        <a:pt x="655294" y="208085"/>
                        <a:pt x="648431" y="200234"/>
                        <a:pt x="644958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TRIER</a:t>
          </a:r>
        </a:p>
      </xdr:txBody>
    </xdr:sp>
    <xdr:clientData fPrintsWithSheet="0"/>
  </xdr:twoCellAnchor>
  <xdr:twoCellAnchor editAs="absolute">
    <xdr:from>
      <xdr:col>1</xdr:col>
      <xdr:colOff>821096</xdr:colOff>
      <xdr:row>8</xdr:row>
      <xdr:rowOff>111953</xdr:rowOff>
    </xdr:from>
    <xdr:to>
      <xdr:col>1</xdr:col>
      <xdr:colOff>1895541</xdr:colOff>
      <xdr:row>9</xdr:row>
      <xdr:rowOff>131884</xdr:rowOff>
    </xdr:to>
    <xdr:sp macro="[0]!Ajout_ligne_tableau_ETAPES_CHANTIER" textlink="">
      <xdr:nvSpPr>
        <xdr:cNvPr id="15" name="Rectangle : en biseau 14">
          <a:extLst>
            <a:ext uri="{FF2B5EF4-FFF2-40B4-BE49-F238E27FC236}">
              <a16:creationId xmlns:a16="http://schemas.microsoft.com/office/drawing/2014/main" id="{6D3A2F8C-69DC-4CC1-AB28-45D6DFFBFCD7}"/>
            </a:ext>
          </a:extLst>
        </xdr:cNvPr>
        <xdr:cNvSpPr/>
      </xdr:nvSpPr>
      <xdr:spPr>
        <a:xfrm>
          <a:off x="982288" y="1203665"/>
          <a:ext cx="1074445" cy="210431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366509542">
                <a:custGeom>
                  <a:avLst/>
                  <a:gdLst>
                    <a:gd name="connsiteX0" fmla="*/ 20664 w 1074445"/>
                    <a:gd name="connsiteY0" fmla="*/ 20664 h 216494"/>
                    <a:gd name="connsiteX1" fmla="*/ 1053781 w 1074445"/>
                    <a:gd name="connsiteY1" fmla="*/ 20664 h 216494"/>
                    <a:gd name="connsiteX2" fmla="*/ 1053781 w 1074445"/>
                    <a:gd name="connsiteY2" fmla="*/ 195830 h 216494"/>
                    <a:gd name="connsiteX3" fmla="*/ 20664 w 1074445"/>
                    <a:gd name="connsiteY3" fmla="*/ 195830 h 216494"/>
                    <a:gd name="connsiteX4" fmla="*/ 20664 w 1074445"/>
                    <a:gd name="connsiteY4" fmla="*/ 20664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53781 w 1074445"/>
                    <a:gd name="connsiteY2" fmla="*/ 20664 h 216494"/>
                    <a:gd name="connsiteX3" fmla="*/ 20664 w 1074445"/>
                    <a:gd name="connsiteY3" fmla="*/ 20664 h 216494"/>
                    <a:gd name="connsiteX4" fmla="*/ 0 w 1074445"/>
                    <a:gd name="connsiteY4" fmla="*/ 0 h 216494"/>
                    <a:gd name="connsiteX0" fmla="*/ 0 w 1074445"/>
                    <a:gd name="connsiteY0" fmla="*/ 216494 h 216494"/>
                    <a:gd name="connsiteX1" fmla="*/ 20664 w 1074445"/>
                    <a:gd name="connsiteY1" fmla="*/ 195830 h 216494"/>
                    <a:gd name="connsiteX2" fmla="*/ 1053781 w 1074445"/>
                    <a:gd name="connsiteY2" fmla="*/ 195830 h 216494"/>
                    <a:gd name="connsiteX3" fmla="*/ 1074445 w 1074445"/>
                    <a:gd name="connsiteY3" fmla="*/ 216494 h 216494"/>
                    <a:gd name="connsiteX4" fmla="*/ 0 w 1074445"/>
                    <a:gd name="connsiteY4" fmla="*/ 216494 h 216494"/>
                    <a:gd name="connsiteX0" fmla="*/ 0 w 1074445"/>
                    <a:gd name="connsiteY0" fmla="*/ 0 h 216494"/>
                    <a:gd name="connsiteX1" fmla="*/ 20664 w 1074445"/>
                    <a:gd name="connsiteY1" fmla="*/ 20664 h 216494"/>
                    <a:gd name="connsiteX2" fmla="*/ 20664 w 1074445"/>
                    <a:gd name="connsiteY2" fmla="*/ 195830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0" fmla="*/ 1074445 w 1074445"/>
                    <a:gd name="connsiteY0" fmla="*/ 0 h 216494"/>
                    <a:gd name="connsiteX1" fmla="*/ 1074445 w 1074445"/>
                    <a:gd name="connsiteY1" fmla="*/ 216494 h 216494"/>
                    <a:gd name="connsiteX2" fmla="*/ 1053781 w 1074445"/>
                    <a:gd name="connsiteY2" fmla="*/ 195830 h 216494"/>
                    <a:gd name="connsiteX3" fmla="*/ 1053781 w 1074445"/>
                    <a:gd name="connsiteY3" fmla="*/ 20664 h 216494"/>
                    <a:gd name="connsiteX4" fmla="*/ 1074445 w 1074445"/>
                    <a:gd name="connsiteY4" fmla="*/ 0 h 216494"/>
                    <a:gd name="connsiteX0" fmla="*/ 0 w 1074445"/>
                    <a:gd name="connsiteY0" fmla="*/ 0 h 216494"/>
                    <a:gd name="connsiteX1" fmla="*/ 1074445 w 1074445"/>
                    <a:gd name="connsiteY1" fmla="*/ 0 h 216494"/>
                    <a:gd name="connsiteX2" fmla="*/ 1074445 w 1074445"/>
                    <a:gd name="connsiteY2" fmla="*/ 216494 h 216494"/>
                    <a:gd name="connsiteX3" fmla="*/ 0 w 1074445"/>
                    <a:gd name="connsiteY3" fmla="*/ 216494 h 216494"/>
                    <a:gd name="connsiteX4" fmla="*/ 0 w 1074445"/>
                    <a:gd name="connsiteY4" fmla="*/ 0 h 216494"/>
                    <a:gd name="connsiteX5" fmla="*/ 20664 w 1074445"/>
                    <a:gd name="connsiteY5" fmla="*/ 20664 h 216494"/>
                    <a:gd name="connsiteX6" fmla="*/ 1053781 w 1074445"/>
                    <a:gd name="connsiteY6" fmla="*/ 20664 h 216494"/>
                    <a:gd name="connsiteX7" fmla="*/ 1053781 w 1074445"/>
                    <a:gd name="connsiteY7" fmla="*/ 195830 h 216494"/>
                    <a:gd name="connsiteX8" fmla="*/ 20664 w 1074445"/>
                    <a:gd name="connsiteY8" fmla="*/ 195830 h 216494"/>
                    <a:gd name="connsiteX9" fmla="*/ 20664 w 1074445"/>
                    <a:gd name="connsiteY9" fmla="*/ 20664 h 216494"/>
                    <a:gd name="connsiteX10" fmla="*/ 0 w 1074445"/>
                    <a:gd name="connsiteY10" fmla="*/ 0 h 216494"/>
                    <a:gd name="connsiteX11" fmla="*/ 20664 w 1074445"/>
                    <a:gd name="connsiteY11" fmla="*/ 20664 h 216494"/>
                    <a:gd name="connsiteX12" fmla="*/ 0 w 1074445"/>
                    <a:gd name="connsiteY12" fmla="*/ 216494 h 216494"/>
                    <a:gd name="connsiteX13" fmla="*/ 20664 w 1074445"/>
                    <a:gd name="connsiteY13" fmla="*/ 195830 h 216494"/>
                    <a:gd name="connsiteX14" fmla="*/ 1074445 w 1074445"/>
                    <a:gd name="connsiteY14" fmla="*/ 0 h 216494"/>
                    <a:gd name="connsiteX15" fmla="*/ 1053781 w 1074445"/>
                    <a:gd name="connsiteY15" fmla="*/ 20664 h 216494"/>
                    <a:gd name="connsiteX16" fmla="*/ 1074445 w 1074445"/>
                    <a:gd name="connsiteY16" fmla="*/ 216494 h 216494"/>
                    <a:gd name="connsiteX17" fmla="*/ 1053781 w 1074445"/>
                    <a:gd name="connsiteY17" fmla="*/ 195830 h 21649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074445" h="216494" stroke="0" extrusionOk="0">
                      <a:moveTo>
                        <a:pt x="20664" y="20664"/>
                      </a:moveTo>
                      <a:cubicBezTo>
                        <a:pt x="184786" y="71384"/>
                        <a:pt x="669734" y="-62788"/>
                        <a:pt x="1053781" y="20664"/>
                      </a:cubicBezTo>
                      <a:cubicBezTo>
                        <a:pt x="1049855" y="62099"/>
                        <a:pt x="1066404" y="143878"/>
                        <a:pt x="1053781" y="195830"/>
                      </a:cubicBezTo>
                      <a:cubicBezTo>
                        <a:pt x="733015" y="174631"/>
                        <a:pt x="512813" y="261792"/>
                        <a:pt x="20664" y="195830"/>
                      </a:cubicBezTo>
                      <a:cubicBezTo>
                        <a:pt x="31326" y="144815"/>
                        <a:pt x="8089" y="39241"/>
                        <a:pt x="20664" y="20664"/>
                      </a:cubicBezTo>
                      <a:close/>
                    </a:path>
                    <a:path w="1074445" h="216494" fill="lightenLess" stroke="0" extrusionOk="0">
                      <a:moveTo>
                        <a:pt x="0" y="0"/>
                      </a:moveTo>
                      <a:cubicBezTo>
                        <a:pt x="384073" y="60100"/>
                        <a:pt x="597222" y="-32900"/>
                        <a:pt x="1074445" y="0"/>
                      </a:cubicBezTo>
                      <a:cubicBezTo>
                        <a:pt x="1071127" y="889"/>
                        <a:pt x="1062797" y="13840"/>
                        <a:pt x="1053781" y="20664"/>
                      </a:cubicBezTo>
                      <a:cubicBezTo>
                        <a:pt x="609102" y="-807"/>
                        <a:pt x="294571" y="88989"/>
                        <a:pt x="20664" y="20664"/>
                      </a:cubicBezTo>
                      <a:cubicBezTo>
                        <a:pt x="11205" y="13300"/>
                        <a:pt x="3662" y="1797"/>
                        <a:pt x="0" y="0"/>
                      </a:cubicBezTo>
                      <a:close/>
                    </a:path>
                    <a:path w="1074445" h="216494" fill="darkenLess" stroke="0" extrusionOk="0">
                      <a:moveTo>
                        <a:pt x="0" y="216494"/>
                      </a:moveTo>
                      <a:cubicBezTo>
                        <a:pt x="8465" y="204424"/>
                        <a:pt x="16266" y="197559"/>
                        <a:pt x="20664" y="195830"/>
                      </a:cubicBezTo>
                      <a:cubicBezTo>
                        <a:pt x="249490" y="216577"/>
                        <a:pt x="580101" y="136169"/>
                        <a:pt x="1053781" y="195830"/>
                      </a:cubicBezTo>
                      <a:cubicBezTo>
                        <a:pt x="1063910" y="204606"/>
                        <a:pt x="1066381" y="205669"/>
                        <a:pt x="1074445" y="216494"/>
                      </a:cubicBezTo>
                      <a:cubicBezTo>
                        <a:pt x="604462" y="181920"/>
                        <a:pt x="217957" y="204945"/>
                        <a:pt x="0" y="216494"/>
                      </a:cubicBezTo>
                      <a:close/>
                    </a:path>
                    <a:path w="1074445" h="216494" fill="lighten" stroke="0" extrusionOk="0">
                      <a:moveTo>
                        <a:pt x="0" y="0"/>
                      </a:moveTo>
                      <a:cubicBezTo>
                        <a:pt x="9086" y="8660"/>
                        <a:pt x="8781" y="12117"/>
                        <a:pt x="20664" y="20664"/>
                      </a:cubicBezTo>
                      <a:cubicBezTo>
                        <a:pt x="31809" y="84511"/>
                        <a:pt x="21551" y="131245"/>
                        <a:pt x="20664" y="195830"/>
                      </a:cubicBezTo>
                      <a:cubicBezTo>
                        <a:pt x="17130" y="201999"/>
                        <a:pt x="9487" y="207054"/>
                        <a:pt x="0" y="216494"/>
                      </a:cubicBezTo>
                      <a:cubicBezTo>
                        <a:pt x="14332" y="180243"/>
                        <a:pt x="7256" y="68441"/>
                        <a:pt x="0" y="0"/>
                      </a:cubicBezTo>
                      <a:close/>
                    </a:path>
                    <a:path w="1074445" h="216494" fill="darken" stroke="0" extrusionOk="0">
                      <a:moveTo>
                        <a:pt x="1074445" y="0"/>
                      </a:moveTo>
                      <a:cubicBezTo>
                        <a:pt x="1078449" y="69243"/>
                        <a:pt x="1073666" y="178308"/>
                        <a:pt x="1074445" y="216494"/>
                      </a:cubicBezTo>
                      <a:cubicBezTo>
                        <a:pt x="1066244" y="205484"/>
                        <a:pt x="1059301" y="203943"/>
                        <a:pt x="1053781" y="195830"/>
                      </a:cubicBezTo>
                      <a:cubicBezTo>
                        <a:pt x="1061147" y="171849"/>
                        <a:pt x="1044907" y="94171"/>
                        <a:pt x="1053781" y="20664"/>
                      </a:cubicBezTo>
                      <a:cubicBezTo>
                        <a:pt x="1058281" y="19456"/>
                        <a:pt x="1064899" y="9337"/>
                        <a:pt x="1074445" y="0"/>
                      </a:cubicBezTo>
                      <a:close/>
                    </a:path>
                    <a:path w="1074445" h="216494" fill="none" extrusionOk="0">
                      <a:moveTo>
                        <a:pt x="0" y="0"/>
                      </a:moveTo>
                      <a:cubicBezTo>
                        <a:pt x="472994" y="2387"/>
                        <a:pt x="557299" y="78465"/>
                        <a:pt x="1074445" y="0"/>
                      </a:cubicBezTo>
                      <a:cubicBezTo>
                        <a:pt x="1073991" y="41996"/>
                        <a:pt x="1057725" y="121370"/>
                        <a:pt x="1074445" y="216494"/>
                      </a:cubicBezTo>
                      <a:cubicBezTo>
                        <a:pt x="864148" y="277480"/>
                        <a:pt x="250175" y="310920"/>
                        <a:pt x="0" y="216494"/>
                      </a:cubicBezTo>
                      <a:cubicBezTo>
                        <a:pt x="-15801" y="189601"/>
                        <a:pt x="-18713" y="97441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339516" y="-51331"/>
                        <a:pt x="550060" y="-43778"/>
                        <a:pt x="1053781" y="20664"/>
                      </a:cubicBezTo>
                      <a:cubicBezTo>
                        <a:pt x="1051392" y="55838"/>
                        <a:pt x="1066383" y="116575"/>
                        <a:pt x="1053781" y="195830"/>
                      </a:cubicBezTo>
                      <a:cubicBezTo>
                        <a:pt x="677448" y="222012"/>
                        <a:pt x="387872" y="136693"/>
                        <a:pt x="20664" y="195830"/>
                      </a:cubicBezTo>
                      <a:cubicBezTo>
                        <a:pt x="25909" y="162306"/>
                        <a:pt x="14293" y="70491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7429" y="4340"/>
                        <a:pt x="13991" y="14687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1911" y="213366"/>
                        <a:pt x="11385" y="203612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8050" y="2767"/>
                        <a:pt x="1059832" y="15698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68433" y="209491"/>
                        <a:pt x="1057864" y="201349"/>
                        <a:pt x="1053781" y="195830"/>
                      </a:cubicBezTo>
                    </a:path>
                    <a:path w="1074445" h="216494" fill="none" stroke="0" extrusionOk="0">
                      <a:moveTo>
                        <a:pt x="0" y="0"/>
                      </a:moveTo>
                      <a:cubicBezTo>
                        <a:pt x="488602" y="-87338"/>
                        <a:pt x="644321" y="-77545"/>
                        <a:pt x="1074445" y="0"/>
                      </a:cubicBezTo>
                      <a:cubicBezTo>
                        <a:pt x="1073210" y="64428"/>
                        <a:pt x="1082237" y="158779"/>
                        <a:pt x="1074445" y="216494"/>
                      </a:cubicBezTo>
                      <a:cubicBezTo>
                        <a:pt x="852898" y="215507"/>
                        <a:pt x="456612" y="236028"/>
                        <a:pt x="0" y="216494"/>
                      </a:cubicBezTo>
                      <a:cubicBezTo>
                        <a:pt x="19235" y="158130"/>
                        <a:pt x="-2954" y="49894"/>
                        <a:pt x="0" y="0"/>
                      </a:cubicBezTo>
                      <a:close/>
                      <a:moveTo>
                        <a:pt x="20664" y="20664"/>
                      </a:moveTo>
                      <a:cubicBezTo>
                        <a:pt x="449452" y="109156"/>
                        <a:pt x="664112" y="62416"/>
                        <a:pt x="1053781" y="20664"/>
                      </a:cubicBezTo>
                      <a:cubicBezTo>
                        <a:pt x="1047542" y="93017"/>
                        <a:pt x="1066332" y="168121"/>
                        <a:pt x="1053781" y="195830"/>
                      </a:cubicBezTo>
                      <a:cubicBezTo>
                        <a:pt x="618730" y="155775"/>
                        <a:pt x="215287" y="181188"/>
                        <a:pt x="20664" y="195830"/>
                      </a:cubicBezTo>
                      <a:cubicBezTo>
                        <a:pt x="29738" y="175235"/>
                        <a:pt x="32572" y="68338"/>
                        <a:pt x="20664" y="20664"/>
                      </a:cubicBezTo>
                      <a:close/>
                      <a:moveTo>
                        <a:pt x="0" y="0"/>
                      </a:moveTo>
                      <a:cubicBezTo>
                        <a:pt x="8501" y="8157"/>
                        <a:pt x="16829" y="20351"/>
                        <a:pt x="20664" y="20664"/>
                      </a:cubicBezTo>
                      <a:moveTo>
                        <a:pt x="0" y="216494"/>
                      </a:moveTo>
                      <a:cubicBezTo>
                        <a:pt x="2818" y="215042"/>
                        <a:pt x="14393" y="201894"/>
                        <a:pt x="20664" y="195830"/>
                      </a:cubicBezTo>
                      <a:moveTo>
                        <a:pt x="1074445" y="0"/>
                      </a:moveTo>
                      <a:cubicBezTo>
                        <a:pt x="1065232" y="8634"/>
                        <a:pt x="1060121" y="11086"/>
                        <a:pt x="1053781" y="20664"/>
                      </a:cubicBezTo>
                      <a:moveTo>
                        <a:pt x="1074445" y="216494"/>
                      </a:moveTo>
                      <a:cubicBezTo>
                        <a:pt x="1070683" y="212887"/>
                        <a:pt x="1061938" y="204542"/>
                        <a:pt x="1053781" y="195830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Paquets</a:t>
          </a:r>
        </a:p>
      </xdr:txBody>
    </xdr:sp>
    <xdr:clientData fPrintsWithSheet="0"/>
  </xdr:twoCellAnchor>
  <xdr:twoCellAnchor editAs="absolute">
    <xdr:from>
      <xdr:col>1</xdr:col>
      <xdr:colOff>688954</xdr:colOff>
      <xdr:row>6</xdr:row>
      <xdr:rowOff>240935</xdr:rowOff>
    </xdr:from>
    <xdr:to>
      <xdr:col>1</xdr:col>
      <xdr:colOff>942082</xdr:colOff>
      <xdr:row>8</xdr:row>
      <xdr:rowOff>46627</xdr:rowOff>
    </xdr:to>
    <xdr:sp macro="[0]!jaune" textlink="">
      <xdr:nvSpPr>
        <xdr:cNvPr id="3" name="Rectangle : en biseau 2">
          <a:extLst>
            <a:ext uri="{FF2B5EF4-FFF2-40B4-BE49-F238E27FC236}">
              <a16:creationId xmlns:a16="http://schemas.microsoft.com/office/drawing/2014/main" id="{6519488C-ABDA-45DF-8F57-5B9070A20416}"/>
            </a:ext>
          </a:extLst>
        </xdr:cNvPr>
        <xdr:cNvSpPr>
          <a:spLocks/>
        </xdr:cNvSpPr>
      </xdr:nvSpPr>
      <xdr:spPr>
        <a:xfrm>
          <a:off x="850146" y="922339"/>
          <a:ext cx="253128" cy="216000"/>
        </a:xfrm>
        <a:prstGeom prst="bevel">
          <a:avLst>
            <a:gd name="adj" fmla="val 9545"/>
          </a:avLst>
        </a:prstGeom>
        <a:solidFill>
          <a:srgbClr val="FFFF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 editAs="absolute">
    <xdr:from>
      <xdr:col>1</xdr:col>
      <xdr:colOff>968677</xdr:colOff>
      <xdr:row>6</xdr:row>
      <xdr:rowOff>240935</xdr:rowOff>
    </xdr:from>
    <xdr:to>
      <xdr:col>1</xdr:col>
      <xdr:colOff>1221805</xdr:colOff>
      <xdr:row>8</xdr:row>
      <xdr:rowOff>46627</xdr:rowOff>
    </xdr:to>
    <xdr:sp macro="[0]!vert_clair" textlink="">
      <xdr:nvSpPr>
        <xdr:cNvPr id="4" name="Rectangle : en biseau 3">
          <a:extLst>
            <a:ext uri="{FF2B5EF4-FFF2-40B4-BE49-F238E27FC236}">
              <a16:creationId xmlns:a16="http://schemas.microsoft.com/office/drawing/2014/main" id="{34BFAF98-A8DA-44B8-BA4D-C17EC2C51B57}"/>
            </a:ext>
          </a:extLst>
        </xdr:cNvPr>
        <xdr:cNvSpPr>
          <a:spLocks/>
        </xdr:cNvSpPr>
      </xdr:nvSpPr>
      <xdr:spPr>
        <a:xfrm>
          <a:off x="1129869" y="922339"/>
          <a:ext cx="253128" cy="216000"/>
        </a:xfrm>
        <a:prstGeom prst="bevel">
          <a:avLst>
            <a:gd name="adj" fmla="val 9545"/>
          </a:avLst>
        </a:prstGeom>
        <a:solidFill>
          <a:srgbClr val="92D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 editAs="absolute">
    <xdr:from>
      <xdr:col>1</xdr:col>
      <xdr:colOff>1248400</xdr:colOff>
      <xdr:row>6</xdr:row>
      <xdr:rowOff>240935</xdr:rowOff>
    </xdr:from>
    <xdr:to>
      <xdr:col>1</xdr:col>
      <xdr:colOff>1501528</xdr:colOff>
      <xdr:row>8</xdr:row>
      <xdr:rowOff>46627</xdr:rowOff>
    </xdr:to>
    <xdr:sp macro="[0]!vert" textlink="">
      <xdr:nvSpPr>
        <xdr:cNvPr id="5" name="Rectangle : en biseau 4">
          <a:extLst>
            <a:ext uri="{FF2B5EF4-FFF2-40B4-BE49-F238E27FC236}">
              <a16:creationId xmlns:a16="http://schemas.microsoft.com/office/drawing/2014/main" id="{D3A78748-09A5-4C89-85C4-F5198744452E}"/>
            </a:ext>
          </a:extLst>
        </xdr:cNvPr>
        <xdr:cNvSpPr>
          <a:spLocks/>
        </xdr:cNvSpPr>
      </xdr:nvSpPr>
      <xdr:spPr>
        <a:xfrm>
          <a:off x="1409592" y="922339"/>
          <a:ext cx="253128" cy="216000"/>
        </a:xfrm>
        <a:prstGeom prst="bevel">
          <a:avLst>
            <a:gd name="adj" fmla="val 9545"/>
          </a:avLst>
        </a:prstGeom>
        <a:solidFill>
          <a:srgbClr val="00B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 editAs="absolute">
    <xdr:from>
      <xdr:col>1</xdr:col>
      <xdr:colOff>1528123</xdr:colOff>
      <xdr:row>6</xdr:row>
      <xdr:rowOff>240935</xdr:rowOff>
    </xdr:from>
    <xdr:to>
      <xdr:col>1</xdr:col>
      <xdr:colOff>1781251</xdr:colOff>
      <xdr:row>8</xdr:row>
      <xdr:rowOff>46627</xdr:rowOff>
    </xdr:to>
    <xdr:sp macro="[0]!bleu_ciel" textlink="">
      <xdr:nvSpPr>
        <xdr:cNvPr id="6" name="Rectangle : en biseau 5">
          <a:extLst>
            <a:ext uri="{FF2B5EF4-FFF2-40B4-BE49-F238E27FC236}">
              <a16:creationId xmlns:a16="http://schemas.microsoft.com/office/drawing/2014/main" id="{8D06AEE2-CB9C-4614-BD2C-641679DCE671}"/>
            </a:ext>
          </a:extLst>
        </xdr:cNvPr>
        <xdr:cNvSpPr>
          <a:spLocks/>
        </xdr:cNvSpPr>
      </xdr:nvSpPr>
      <xdr:spPr>
        <a:xfrm>
          <a:off x="1689315" y="922339"/>
          <a:ext cx="253128" cy="216000"/>
        </a:xfrm>
        <a:prstGeom prst="bevel">
          <a:avLst>
            <a:gd name="adj" fmla="val 9545"/>
          </a:avLst>
        </a:prstGeom>
        <a:solidFill>
          <a:srgbClr val="00B0F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 editAs="absolute">
    <xdr:from>
      <xdr:col>1</xdr:col>
      <xdr:colOff>1807846</xdr:colOff>
      <xdr:row>6</xdr:row>
      <xdr:rowOff>240935</xdr:rowOff>
    </xdr:from>
    <xdr:to>
      <xdr:col>2</xdr:col>
      <xdr:colOff>155974</xdr:colOff>
      <xdr:row>8</xdr:row>
      <xdr:rowOff>46627</xdr:rowOff>
    </xdr:to>
    <xdr:sp macro="[0]!bleu_marine" textlink="">
      <xdr:nvSpPr>
        <xdr:cNvPr id="7" name="Rectangle : en biseau 6">
          <a:extLst>
            <a:ext uri="{FF2B5EF4-FFF2-40B4-BE49-F238E27FC236}">
              <a16:creationId xmlns:a16="http://schemas.microsoft.com/office/drawing/2014/main" id="{219FE612-B0B6-4C7B-BB72-419A867D3B31}"/>
            </a:ext>
          </a:extLst>
        </xdr:cNvPr>
        <xdr:cNvSpPr>
          <a:spLocks/>
        </xdr:cNvSpPr>
      </xdr:nvSpPr>
      <xdr:spPr>
        <a:xfrm>
          <a:off x="1969038" y="922339"/>
          <a:ext cx="253128" cy="216000"/>
        </a:xfrm>
        <a:prstGeom prst="bevel">
          <a:avLst>
            <a:gd name="adj" fmla="val 9545"/>
          </a:avLst>
        </a:prstGeom>
        <a:solidFill>
          <a:srgbClr val="0070C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 editAs="absolute">
    <xdr:from>
      <xdr:col>2</xdr:col>
      <xdr:colOff>182569</xdr:colOff>
      <xdr:row>6</xdr:row>
      <xdr:rowOff>240935</xdr:rowOff>
    </xdr:from>
    <xdr:to>
      <xdr:col>2</xdr:col>
      <xdr:colOff>435697</xdr:colOff>
      <xdr:row>8</xdr:row>
      <xdr:rowOff>46627</xdr:rowOff>
    </xdr:to>
    <xdr:sp macro="[0]!violet" textlink="">
      <xdr:nvSpPr>
        <xdr:cNvPr id="8" name="Rectangle : en biseau 7">
          <a:extLst>
            <a:ext uri="{FF2B5EF4-FFF2-40B4-BE49-F238E27FC236}">
              <a16:creationId xmlns:a16="http://schemas.microsoft.com/office/drawing/2014/main" id="{30B8B8A6-CB7B-4B33-8E13-9C1D4EC0F667}"/>
            </a:ext>
          </a:extLst>
        </xdr:cNvPr>
        <xdr:cNvSpPr>
          <a:spLocks/>
        </xdr:cNvSpPr>
      </xdr:nvSpPr>
      <xdr:spPr>
        <a:xfrm>
          <a:off x="2248761" y="922339"/>
          <a:ext cx="253128" cy="216000"/>
        </a:xfrm>
        <a:prstGeom prst="bevel">
          <a:avLst>
            <a:gd name="adj" fmla="val 9545"/>
          </a:avLst>
        </a:prstGeom>
        <a:solidFill>
          <a:srgbClr val="7030A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7</a:t>
          </a:r>
        </a:p>
      </xdr:txBody>
    </xdr:sp>
    <xdr:clientData/>
  </xdr:twoCellAnchor>
  <xdr:twoCellAnchor editAs="absolute">
    <xdr:from>
      <xdr:col>2</xdr:col>
      <xdr:colOff>462292</xdr:colOff>
      <xdr:row>6</xdr:row>
      <xdr:rowOff>240935</xdr:rowOff>
    </xdr:from>
    <xdr:to>
      <xdr:col>2</xdr:col>
      <xdr:colOff>715420</xdr:colOff>
      <xdr:row>8</xdr:row>
      <xdr:rowOff>46627</xdr:rowOff>
    </xdr:to>
    <xdr:sp macro="[0]!maron" textlink="">
      <xdr:nvSpPr>
        <xdr:cNvPr id="19" name="Rectangle : en biseau 18">
          <a:extLst>
            <a:ext uri="{FF2B5EF4-FFF2-40B4-BE49-F238E27FC236}">
              <a16:creationId xmlns:a16="http://schemas.microsoft.com/office/drawing/2014/main" id="{665426C3-6BF7-459A-B61A-CDD918090D6A}"/>
            </a:ext>
          </a:extLst>
        </xdr:cNvPr>
        <xdr:cNvSpPr>
          <a:spLocks/>
        </xdr:cNvSpPr>
      </xdr:nvSpPr>
      <xdr:spPr>
        <a:xfrm>
          <a:off x="2528484" y="922339"/>
          <a:ext cx="253128" cy="216000"/>
        </a:xfrm>
        <a:prstGeom prst="bevel">
          <a:avLst>
            <a:gd name="adj" fmla="val 9545"/>
          </a:avLst>
        </a:prstGeom>
        <a:solidFill>
          <a:srgbClr val="9966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 editAs="absolute">
    <xdr:from>
      <xdr:col>2</xdr:col>
      <xdr:colOff>742015</xdr:colOff>
      <xdr:row>6</xdr:row>
      <xdr:rowOff>240935</xdr:rowOff>
    </xdr:from>
    <xdr:to>
      <xdr:col>3</xdr:col>
      <xdr:colOff>79277</xdr:colOff>
      <xdr:row>8</xdr:row>
      <xdr:rowOff>46627</xdr:rowOff>
    </xdr:to>
    <xdr:sp macro="[0]!rose" textlink="">
      <xdr:nvSpPr>
        <xdr:cNvPr id="20" name="Rectangle : en biseau 19">
          <a:extLst>
            <a:ext uri="{FF2B5EF4-FFF2-40B4-BE49-F238E27FC236}">
              <a16:creationId xmlns:a16="http://schemas.microsoft.com/office/drawing/2014/main" id="{BDAE1436-4CA3-4132-B088-2E6107BD65A4}"/>
            </a:ext>
          </a:extLst>
        </xdr:cNvPr>
        <xdr:cNvSpPr>
          <a:spLocks/>
        </xdr:cNvSpPr>
      </xdr:nvSpPr>
      <xdr:spPr>
        <a:xfrm>
          <a:off x="2808207" y="922339"/>
          <a:ext cx="253128" cy="216000"/>
        </a:xfrm>
        <a:prstGeom prst="bevel">
          <a:avLst>
            <a:gd name="adj" fmla="val 9545"/>
          </a:avLst>
        </a:prstGeom>
        <a:solidFill>
          <a:srgbClr val="FF33CC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9</a:t>
          </a:r>
        </a:p>
      </xdr:txBody>
    </xdr:sp>
    <xdr:clientData/>
  </xdr:twoCellAnchor>
  <xdr:twoCellAnchor editAs="absolute">
    <xdr:from>
      <xdr:col>3</xdr:col>
      <xdr:colOff>105874</xdr:colOff>
      <xdr:row>6</xdr:row>
      <xdr:rowOff>240935</xdr:rowOff>
    </xdr:from>
    <xdr:to>
      <xdr:col>3</xdr:col>
      <xdr:colOff>359002</xdr:colOff>
      <xdr:row>8</xdr:row>
      <xdr:rowOff>46627</xdr:rowOff>
    </xdr:to>
    <xdr:sp macro="[0]!rouge" textlink="">
      <xdr:nvSpPr>
        <xdr:cNvPr id="17" name="Rectangle : en biseau 16">
          <a:extLst>
            <a:ext uri="{FF2B5EF4-FFF2-40B4-BE49-F238E27FC236}">
              <a16:creationId xmlns:a16="http://schemas.microsoft.com/office/drawing/2014/main" id="{2D9190B2-8754-4509-A489-26F24BCB6519}"/>
            </a:ext>
          </a:extLst>
        </xdr:cNvPr>
        <xdr:cNvSpPr>
          <a:spLocks/>
        </xdr:cNvSpPr>
      </xdr:nvSpPr>
      <xdr:spPr>
        <a:xfrm>
          <a:off x="3087932" y="922339"/>
          <a:ext cx="253128" cy="216000"/>
        </a:xfrm>
        <a:prstGeom prst="bevel">
          <a:avLst>
            <a:gd name="adj" fmla="val 9545"/>
          </a:avLst>
        </a:prstGeom>
        <a:solidFill>
          <a:srgbClr val="FF0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 editAs="absolute">
    <xdr:from>
      <xdr:col>1</xdr:col>
      <xdr:colOff>409231</xdr:colOff>
      <xdr:row>6</xdr:row>
      <xdr:rowOff>240935</xdr:rowOff>
    </xdr:from>
    <xdr:to>
      <xdr:col>1</xdr:col>
      <xdr:colOff>662359</xdr:colOff>
      <xdr:row>8</xdr:row>
      <xdr:rowOff>46627</xdr:rowOff>
    </xdr:to>
    <xdr:sp macro="[0]!orange" textlink="">
      <xdr:nvSpPr>
        <xdr:cNvPr id="24" name="Rectangle : en biseau 23">
          <a:extLst>
            <a:ext uri="{FF2B5EF4-FFF2-40B4-BE49-F238E27FC236}">
              <a16:creationId xmlns:a16="http://schemas.microsoft.com/office/drawing/2014/main" id="{6070378D-492B-4279-9DDF-B9995F90C225}"/>
            </a:ext>
          </a:extLst>
        </xdr:cNvPr>
        <xdr:cNvSpPr>
          <a:spLocks/>
        </xdr:cNvSpPr>
      </xdr:nvSpPr>
      <xdr:spPr>
        <a:xfrm>
          <a:off x="570423" y="922339"/>
          <a:ext cx="253128" cy="216000"/>
        </a:xfrm>
        <a:prstGeom prst="bevel">
          <a:avLst>
            <a:gd name="adj" fmla="val 9545"/>
          </a:avLst>
        </a:prstGeom>
        <a:solidFill>
          <a:srgbClr val="FFC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1</xdr:col>
      <xdr:colOff>1633329</xdr:colOff>
      <xdr:row>5</xdr:row>
      <xdr:rowOff>28163</xdr:rowOff>
    </xdr:from>
    <xdr:to>
      <xdr:col>2</xdr:col>
      <xdr:colOff>594370</xdr:colOff>
      <xdr:row>5</xdr:row>
      <xdr:rowOff>210207</xdr:rowOff>
    </xdr:to>
    <xdr:sp macro="" textlink="" fLocksText="0">
      <xdr:nvSpPr>
        <xdr:cNvPr id="2" name="ZoneTexte 1">
          <a:extLst>
            <a:ext uri="{FF2B5EF4-FFF2-40B4-BE49-F238E27FC236}">
              <a16:creationId xmlns:a16="http://schemas.microsoft.com/office/drawing/2014/main" id="{B61BE590-285E-BBC2-C289-A33EBC3DF1AD}"/>
            </a:ext>
          </a:extLst>
        </xdr:cNvPr>
        <xdr:cNvSpPr txBox="1"/>
      </xdr:nvSpPr>
      <xdr:spPr>
        <a:xfrm>
          <a:off x="1797553" y="796732"/>
          <a:ext cx="866041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500033</xdr:colOff>
      <xdr:row>5</xdr:row>
      <xdr:rowOff>28163</xdr:rowOff>
    </xdr:from>
    <xdr:to>
      <xdr:col>10</xdr:col>
      <xdr:colOff>455957</xdr:colOff>
      <xdr:row>5</xdr:row>
      <xdr:rowOff>210207</xdr:rowOff>
    </xdr:to>
    <xdr:sp macro="" textlink="" fLocksText="0">
      <xdr:nvSpPr>
        <xdr:cNvPr id="11" name="ZoneTexte 10">
          <a:extLst>
            <a:ext uri="{FF2B5EF4-FFF2-40B4-BE49-F238E27FC236}">
              <a16:creationId xmlns:a16="http://schemas.microsoft.com/office/drawing/2014/main" id="{76737B71-2E14-4FCA-9FE8-D7A2EB091BB1}"/>
            </a:ext>
          </a:extLst>
        </xdr:cNvPr>
        <xdr:cNvSpPr txBox="1"/>
      </xdr:nvSpPr>
      <xdr:spPr>
        <a:xfrm>
          <a:off x="9873947" y="796732"/>
          <a:ext cx="869010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2</xdr:col>
      <xdr:colOff>625515</xdr:colOff>
      <xdr:row>5</xdr:row>
      <xdr:rowOff>28163</xdr:rowOff>
    </xdr:from>
    <xdr:to>
      <xdr:col>3</xdr:col>
      <xdr:colOff>579305</xdr:colOff>
      <xdr:row>5</xdr:row>
      <xdr:rowOff>210207</xdr:rowOff>
    </xdr:to>
    <xdr:sp macro="" textlink="" fLocksText="0">
      <xdr:nvSpPr>
        <xdr:cNvPr id="12" name="ZoneTexte 11">
          <a:extLst>
            <a:ext uri="{FF2B5EF4-FFF2-40B4-BE49-F238E27FC236}">
              <a16:creationId xmlns:a16="http://schemas.microsoft.com/office/drawing/2014/main" id="{03A6EADB-C495-48DA-B436-54050E895FFA}"/>
            </a:ext>
          </a:extLst>
        </xdr:cNvPr>
        <xdr:cNvSpPr txBox="1"/>
      </xdr:nvSpPr>
      <xdr:spPr>
        <a:xfrm>
          <a:off x="2694739" y="796732"/>
          <a:ext cx="866876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3</xdr:col>
      <xdr:colOff>610450</xdr:colOff>
      <xdr:row>5</xdr:row>
      <xdr:rowOff>28163</xdr:rowOff>
    </xdr:from>
    <xdr:to>
      <xdr:col>4</xdr:col>
      <xdr:colOff>564006</xdr:colOff>
      <xdr:row>5</xdr:row>
      <xdr:rowOff>210207</xdr:rowOff>
    </xdr:to>
    <xdr:sp macro="" textlink="" fLocksText="0">
      <xdr:nvSpPr>
        <xdr:cNvPr id="16" name="ZoneTexte 15">
          <a:extLst>
            <a:ext uri="{FF2B5EF4-FFF2-40B4-BE49-F238E27FC236}">
              <a16:creationId xmlns:a16="http://schemas.microsoft.com/office/drawing/2014/main" id="{3CB310A9-7354-42A4-839C-153BD8DD4014}"/>
            </a:ext>
          </a:extLst>
        </xdr:cNvPr>
        <xdr:cNvSpPr txBox="1"/>
      </xdr:nvSpPr>
      <xdr:spPr>
        <a:xfrm>
          <a:off x="3592760" y="796732"/>
          <a:ext cx="866643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4</xdr:col>
      <xdr:colOff>596393</xdr:colOff>
      <xdr:row>5</xdr:row>
      <xdr:rowOff>28163</xdr:rowOff>
    </xdr:from>
    <xdr:to>
      <xdr:col>5</xdr:col>
      <xdr:colOff>549945</xdr:colOff>
      <xdr:row>5</xdr:row>
      <xdr:rowOff>210207</xdr:rowOff>
    </xdr:to>
    <xdr:sp macro="" textlink="" fLocksText="0">
      <xdr:nvSpPr>
        <xdr:cNvPr id="18" name="ZoneTexte 17">
          <a:extLst>
            <a:ext uri="{FF2B5EF4-FFF2-40B4-BE49-F238E27FC236}">
              <a16:creationId xmlns:a16="http://schemas.microsoft.com/office/drawing/2014/main" id="{5526F873-219F-4BD6-80A6-CAF147B3031D}"/>
            </a:ext>
          </a:extLst>
        </xdr:cNvPr>
        <xdr:cNvSpPr txBox="1"/>
      </xdr:nvSpPr>
      <xdr:spPr>
        <a:xfrm>
          <a:off x="4491790" y="796732"/>
          <a:ext cx="86663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5</xdr:col>
      <xdr:colOff>581091</xdr:colOff>
      <xdr:row>5</xdr:row>
      <xdr:rowOff>28163</xdr:rowOff>
    </xdr:from>
    <xdr:to>
      <xdr:col>6</xdr:col>
      <xdr:colOff>534409</xdr:colOff>
      <xdr:row>5</xdr:row>
      <xdr:rowOff>210207</xdr:rowOff>
    </xdr:to>
    <xdr:sp macro="" textlink="" fLocksText="0">
      <xdr:nvSpPr>
        <xdr:cNvPr id="21" name="ZoneTexte 20">
          <a:extLst>
            <a:ext uri="{FF2B5EF4-FFF2-40B4-BE49-F238E27FC236}">
              <a16:creationId xmlns:a16="http://schemas.microsoft.com/office/drawing/2014/main" id="{3BCA8803-9D3F-4AB2-86D4-FC859E2D11E0}"/>
            </a:ext>
          </a:extLst>
        </xdr:cNvPr>
        <xdr:cNvSpPr txBox="1"/>
      </xdr:nvSpPr>
      <xdr:spPr>
        <a:xfrm>
          <a:off x="5389574" y="796732"/>
          <a:ext cx="866404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6</xdr:col>
      <xdr:colOff>565554</xdr:colOff>
      <xdr:row>5</xdr:row>
      <xdr:rowOff>28163</xdr:rowOff>
    </xdr:from>
    <xdr:to>
      <xdr:col>7</xdr:col>
      <xdr:colOff>517866</xdr:colOff>
      <xdr:row>5</xdr:row>
      <xdr:rowOff>210207</xdr:rowOff>
    </xdr:to>
    <xdr:sp macro="" textlink="" fLocksText="0">
      <xdr:nvSpPr>
        <xdr:cNvPr id="22" name="ZoneTexte 21">
          <a:extLst>
            <a:ext uri="{FF2B5EF4-FFF2-40B4-BE49-F238E27FC236}">
              <a16:creationId xmlns:a16="http://schemas.microsoft.com/office/drawing/2014/main" id="{FCADEA5C-34BD-4DDD-B5D4-CA82F8A2890C}"/>
            </a:ext>
          </a:extLst>
        </xdr:cNvPr>
        <xdr:cNvSpPr txBox="1"/>
      </xdr:nvSpPr>
      <xdr:spPr>
        <a:xfrm>
          <a:off x="6287123" y="796732"/>
          <a:ext cx="86539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7</xdr:col>
      <xdr:colOff>549011</xdr:colOff>
      <xdr:row>5</xdr:row>
      <xdr:rowOff>28163</xdr:rowOff>
    </xdr:from>
    <xdr:to>
      <xdr:col>9</xdr:col>
      <xdr:colOff>0</xdr:colOff>
      <xdr:row>5</xdr:row>
      <xdr:rowOff>210207</xdr:rowOff>
    </xdr:to>
    <xdr:sp macro="" textlink="" fLocksText="0">
      <xdr:nvSpPr>
        <xdr:cNvPr id="23" name="ZoneTexte 22">
          <a:extLst>
            <a:ext uri="{FF2B5EF4-FFF2-40B4-BE49-F238E27FC236}">
              <a16:creationId xmlns:a16="http://schemas.microsoft.com/office/drawing/2014/main" id="{94053871-8555-4095-85BB-AFAFB8D0CD2F}"/>
            </a:ext>
          </a:extLst>
        </xdr:cNvPr>
        <xdr:cNvSpPr txBox="1"/>
      </xdr:nvSpPr>
      <xdr:spPr>
        <a:xfrm>
          <a:off x="7183666" y="796732"/>
          <a:ext cx="863328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>
    <xdr:from>
      <xdr:col>9</xdr:col>
      <xdr:colOff>0</xdr:colOff>
      <xdr:row>5</xdr:row>
      <xdr:rowOff>28163</xdr:rowOff>
    </xdr:from>
    <xdr:to>
      <xdr:col>9</xdr:col>
      <xdr:colOff>468888</xdr:colOff>
      <xdr:row>5</xdr:row>
      <xdr:rowOff>210207</xdr:rowOff>
    </xdr:to>
    <xdr:sp macro="" textlink="" fLocksText="0">
      <xdr:nvSpPr>
        <xdr:cNvPr id="26" name="ZoneTexte 25">
          <a:extLst>
            <a:ext uri="{FF2B5EF4-FFF2-40B4-BE49-F238E27FC236}">
              <a16:creationId xmlns:a16="http://schemas.microsoft.com/office/drawing/2014/main" id="{D07D0714-9924-445E-851E-97E362343E3E}"/>
            </a:ext>
          </a:extLst>
        </xdr:cNvPr>
        <xdr:cNvSpPr txBox="1"/>
      </xdr:nvSpPr>
      <xdr:spPr>
        <a:xfrm>
          <a:off x="8976160" y="796732"/>
          <a:ext cx="866642" cy="18204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1</xdr:col>
      <xdr:colOff>4</xdr:colOff>
      <xdr:row>1</xdr:row>
      <xdr:rowOff>86614</xdr:rowOff>
    </xdr:from>
    <xdr:to>
      <xdr:col>1</xdr:col>
      <xdr:colOff>672795</xdr:colOff>
      <xdr:row>2</xdr:row>
      <xdr:rowOff>100379</xdr:rowOff>
    </xdr:to>
    <xdr:sp macro="[0]!Bouton_ATELIER" textlink="">
      <xdr:nvSpPr>
        <xdr:cNvPr id="27" name="Rectangle : en biseau 26">
          <a:extLst>
            <a:ext uri="{FF2B5EF4-FFF2-40B4-BE49-F238E27FC236}">
              <a16:creationId xmlns:a16="http://schemas.microsoft.com/office/drawing/2014/main" id="{69E23C95-5F62-43F9-9915-38A1DCF03586}"/>
            </a:ext>
          </a:extLst>
        </xdr:cNvPr>
        <xdr:cNvSpPr/>
      </xdr:nvSpPr>
      <xdr:spPr>
        <a:xfrm>
          <a:off x="161196" y="86614"/>
          <a:ext cx="672791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ATELIER</a:t>
          </a:r>
        </a:p>
      </xdr:txBody>
    </xdr:sp>
    <xdr:clientData fPrintsWithSheet="0"/>
  </xdr:twoCellAnchor>
  <xdr:twoCellAnchor editAs="absolute">
    <xdr:from>
      <xdr:col>1</xdr:col>
      <xdr:colOff>701369</xdr:colOff>
      <xdr:row>1</xdr:row>
      <xdr:rowOff>86708</xdr:rowOff>
    </xdr:from>
    <xdr:to>
      <xdr:col>1</xdr:col>
      <xdr:colOff>1442373</xdr:colOff>
      <xdr:row>2</xdr:row>
      <xdr:rowOff>100473</xdr:rowOff>
    </xdr:to>
    <xdr:sp macro="[0]!Bouton_CHANTIER" textlink="">
      <xdr:nvSpPr>
        <xdr:cNvPr id="28" name="Rectangle : en biseau 27">
          <a:extLst>
            <a:ext uri="{FF2B5EF4-FFF2-40B4-BE49-F238E27FC236}">
              <a16:creationId xmlns:a16="http://schemas.microsoft.com/office/drawing/2014/main" id="{09D347E5-A348-4308-AF5C-12FCFF71BD0A}"/>
            </a:ext>
          </a:extLst>
        </xdr:cNvPr>
        <xdr:cNvSpPr/>
      </xdr:nvSpPr>
      <xdr:spPr>
        <a:xfrm>
          <a:off x="862561" y="86708"/>
          <a:ext cx="741004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CHANTIER</a:t>
          </a:r>
        </a:p>
      </xdr:txBody>
    </xdr:sp>
    <xdr:clientData fPrintsWithSheet="0"/>
  </xdr:twoCellAnchor>
  <xdr:twoCellAnchor editAs="absolute">
    <xdr:from>
      <xdr:col>1</xdr:col>
      <xdr:colOff>1468237</xdr:colOff>
      <xdr:row>1</xdr:row>
      <xdr:rowOff>86708</xdr:rowOff>
    </xdr:from>
    <xdr:to>
      <xdr:col>2</xdr:col>
      <xdr:colOff>34376</xdr:colOff>
      <xdr:row>2</xdr:row>
      <xdr:rowOff>100473</xdr:rowOff>
    </xdr:to>
    <xdr:sp macro="[0]!Bouton_LES_2" textlink="">
      <xdr:nvSpPr>
        <xdr:cNvPr id="29" name="Rectangle : en biseau 28">
          <a:extLst>
            <a:ext uri="{FF2B5EF4-FFF2-40B4-BE49-F238E27FC236}">
              <a16:creationId xmlns:a16="http://schemas.microsoft.com/office/drawing/2014/main" id="{D76F07B9-BCAA-4C65-8CDF-96B63666FCB0}"/>
            </a:ext>
          </a:extLst>
        </xdr:cNvPr>
        <xdr:cNvSpPr/>
      </xdr:nvSpPr>
      <xdr:spPr>
        <a:xfrm>
          <a:off x="1629429" y="86708"/>
          <a:ext cx="471139" cy="226246"/>
        </a:xfrm>
        <a:prstGeom prst="bevel">
          <a:avLst>
            <a:gd name="adj" fmla="val 9545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LES</a:t>
          </a:r>
          <a:r>
            <a:rPr lang="fr-FR" sz="1100" baseline="0">
              <a:solidFill>
                <a:sysClr val="windowText" lastClr="000000"/>
              </a:solidFill>
            </a:rPr>
            <a:t> 2</a:t>
          </a:r>
          <a:endParaRPr lang="fr-FR" sz="1100">
            <a:solidFill>
              <a:sysClr val="windowText" lastClr="000000"/>
            </a:solidFill>
          </a:endParaRPr>
        </a:p>
      </xdr:txBody>
    </xdr:sp>
    <xdr:clientData fPrintsWithSheet="0"/>
  </xdr:twoCellAnchor>
  <xdr:twoCellAnchor editAs="absolute">
    <xdr:from>
      <xdr:col>4</xdr:col>
      <xdr:colOff>197071</xdr:colOff>
      <xdr:row>8</xdr:row>
      <xdr:rowOff>112985</xdr:rowOff>
    </xdr:from>
    <xdr:to>
      <xdr:col>5</xdr:col>
      <xdr:colOff>32847</xdr:colOff>
      <xdr:row>9</xdr:row>
      <xdr:rowOff>146538</xdr:rowOff>
    </xdr:to>
    <xdr:sp macro="[0]!non" textlink="">
      <xdr:nvSpPr>
        <xdr:cNvPr id="30" name="Rectangle : en biseau 29">
          <a:extLst>
            <a:ext uri="{FF2B5EF4-FFF2-40B4-BE49-F238E27FC236}">
              <a16:creationId xmlns:a16="http://schemas.microsoft.com/office/drawing/2014/main" id="{54D15CED-6F40-554F-CAC7-5C95B5069F94}"/>
            </a:ext>
          </a:extLst>
        </xdr:cNvPr>
        <xdr:cNvSpPr/>
      </xdr:nvSpPr>
      <xdr:spPr>
        <a:xfrm>
          <a:off x="4094994" y="1204697"/>
          <a:ext cx="751641" cy="224053"/>
        </a:xfrm>
        <a:prstGeom prst="bevel">
          <a:avLst/>
        </a:prstGeom>
        <a:pattFill prst="pct70">
          <a:fgClr>
            <a:schemeClr val="tx1"/>
          </a:fgClr>
          <a:bgClr>
            <a:schemeClr val="bg1"/>
          </a:bgClr>
        </a:patt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323196</xdr:colOff>
      <xdr:row>8</xdr:row>
      <xdr:rowOff>112985</xdr:rowOff>
    </xdr:from>
    <xdr:to>
      <xdr:col>4</xdr:col>
      <xdr:colOff>158971</xdr:colOff>
      <xdr:row>9</xdr:row>
      <xdr:rowOff>146538</xdr:rowOff>
    </xdr:to>
    <xdr:sp macro="[0]!oui" textlink="">
      <xdr:nvSpPr>
        <xdr:cNvPr id="31" name="Rectangle : en biseau 30">
          <a:extLst>
            <a:ext uri="{FF2B5EF4-FFF2-40B4-BE49-F238E27FC236}">
              <a16:creationId xmlns:a16="http://schemas.microsoft.com/office/drawing/2014/main" id="{43A5A011-22C0-4DA7-BF1A-9B43116C6AB7}"/>
            </a:ext>
          </a:extLst>
        </xdr:cNvPr>
        <xdr:cNvSpPr/>
      </xdr:nvSpPr>
      <xdr:spPr>
        <a:xfrm>
          <a:off x="3305254" y="1204697"/>
          <a:ext cx="751640" cy="224053"/>
        </a:xfrm>
        <a:prstGeom prst="bevel">
          <a:avLst/>
        </a:prstGeom>
        <a:solidFill>
          <a:srgbClr val="DCDCDC"/>
        </a:solidFill>
        <a:ln w="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 FAIRE</a:t>
          </a:r>
        </a:p>
      </xdr:txBody>
    </xdr:sp>
    <xdr:clientData/>
  </xdr:twoCellAnchor>
  <xdr:twoCellAnchor editAs="absolute">
    <xdr:from>
      <xdr:col>6</xdr:col>
      <xdr:colOff>14656</xdr:colOff>
      <xdr:row>4</xdr:row>
      <xdr:rowOff>29307</xdr:rowOff>
    </xdr:from>
    <xdr:to>
      <xdr:col>8</xdr:col>
      <xdr:colOff>7326</xdr:colOff>
      <xdr:row>6</xdr:row>
      <xdr:rowOff>173717</xdr:rowOff>
    </xdr:to>
    <xdr:sp macro="[0]!Bouton_Ajout_Projet" textlink="">
      <xdr:nvSpPr>
        <xdr:cNvPr id="10" name="Rectangle : en biseau 9">
          <a:extLst>
            <a:ext uri="{FF2B5EF4-FFF2-40B4-BE49-F238E27FC236}">
              <a16:creationId xmlns:a16="http://schemas.microsoft.com/office/drawing/2014/main" id="{36483311-FAF3-48C7-89DD-EF8F33ED9BA5}"/>
            </a:ext>
          </a:extLst>
        </xdr:cNvPr>
        <xdr:cNvSpPr/>
      </xdr:nvSpPr>
      <xdr:spPr>
        <a:xfrm>
          <a:off x="5744310" y="637442"/>
          <a:ext cx="1824401" cy="217679"/>
        </a:xfrm>
        <a:prstGeom prst="bevel">
          <a:avLst>
            <a:gd name="adj" fmla="val 9545"/>
          </a:avLst>
        </a:prstGeom>
        <a:solidFill>
          <a:schemeClr val="accent6">
            <a:lumMod val="75000"/>
          </a:schemeClr>
        </a:solidFill>
        <a:ln w="0">
          <a:noFill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21074 w 1439868"/>
                    <a:gd name="connsiteY0" fmla="*/ 21074 h 220787"/>
                    <a:gd name="connsiteX1" fmla="*/ 1418794 w 1439868"/>
                    <a:gd name="connsiteY1" fmla="*/ 21074 h 220787"/>
                    <a:gd name="connsiteX2" fmla="*/ 1418794 w 1439868"/>
                    <a:gd name="connsiteY2" fmla="*/ 199713 h 220787"/>
                    <a:gd name="connsiteX3" fmla="*/ 21074 w 1439868"/>
                    <a:gd name="connsiteY3" fmla="*/ 199713 h 220787"/>
                    <a:gd name="connsiteX4" fmla="*/ 21074 w 1439868"/>
                    <a:gd name="connsiteY4" fmla="*/ 21074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18794 w 1439868"/>
                    <a:gd name="connsiteY2" fmla="*/ 21074 h 220787"/>
                    <a:gd name="connsiteX3" fmla="*/ 21074 w 1439868"/>
                    <a:gd name="connsiteY3" fmla="*/ 21074 h 220787"/>
                    <a:gd name="connsiteX4" fmla="*/ 0 w 1439868"/>
                    <a:gd name="connsiteY4" fmla="*/ 0 h 220787"/>
                    <a:gd name="connsiteX0" fmla="*/ 0 w 1439868"/>
                    <a:gd name="connsiteY0" fmla="*/ 220787 h 220787"/>
                    <a:gd name="connsiteX1" fmla="*/ 21074 w 1439868"/>
                    <a:gd name="connsiteY1" fmla="*/ 199713 h 220787"/>
                    <a:gd name="connsiteX2" fmla="*/ 1418794 w 1439868"/>
                    <a:gd name="connsiteY2" fmla="*/ 199713 h 220787"/>
                    <a:gd name="connsiteX3" fmla="*/ 1439868 w 1439868"/>
                    <a:gd name="connsiteY3" fmla="*/ 220787 h 220787"/>
                    <a:gd name="connsiteX4" fmla="*/ 0 w 1439868"/>
                    <a:gd name="connsiteY4" fmla="*/ 220787 h 220787"/>
                    <a:gd name="connsiteX0" fmla="*/ 0 w 1439868"/>
                    <a:gd name="connsiteY0" fmla="*/ 0 h 220787"/>
                    <a:gd name="connsiteX1" fmla="*/ 21074 w 1439868"/>
                    <a:gd name="connsiteY1" fmla="*/ 21074 h 220787"/>
                    <a:gd name="connsiteX2" fmla="*/ 21074 w 1439868"/>
                    <a:gd name="connsiteY2" fmla="*/ 199713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0" fmla="*/ 1439868 w 1439868"/>
                    <a:gd name="connsiteY0" fmla="*/ 0 h 220787"/>
                    <a:gd name="connsiteX1" fmla="*/ 1439868 w 1439868"/>
                    <a:gd name="connsiteY1" fmla="*/ 220787 h 220787"/>
                    <a:gd name="connsiteX2" fmla="*/ 1418794 w 1439868"/>
                    <a:gd name="connsiteY2" fmla="*/ 199713 h 220787"/>
                    <a:gd name="connsiteX3" fmla="*/ 1418794 w 1439868"/>
                    <a:gd name="connsiteY3" fmla="*/ 21074 h 220787"/>
                    <a:gd name="connsiteX4" fmla="*/ 1439868 w 1439868"/>
                    <a:gd name="connsiteY4" fmla="*/ 0 h 220787"/>
                    <a:gd name="connsiteX0" fmla="*/ 0 w 1439868"/>
                    <a:gd name="connsiteY0" fmla="*/ 0 h 220787"/>
                    <a:gd name="connsiteX1" fmla="*/ 1439868 w 1439868"/>
                    <a:gd name="connsiteY1" fmla="*/ 0 h 220787"/>
                    <a:gd name="connsiteX2" fmla="*/ 1439868 w 1439868"/>
                    <a:gd name="connsiteY2" fmla="*/ 220787 h 220787"/>
                    <a:gd name="connsiteX3" fmla="*/ 0 w 1439868"/>
                    <a:gd name="connsiteY3" fmla="*/ 220787 h 220787"/>
                    <a:gd name="connsiteX4" fmla="*/ 0 w 1439868"/>
                    <a:gd name="connsiteY4" fmla="*/ 0 h 220787"/>
                    <a:gd name="connsiteX5" fmla="*/ 21074 w 1439868"/>
                    <a:gd name="connsiteY5" fmla="*/ 21074 h 220787"/>
                    <a:gd name="connsiteX6" fmla="*/ 1418794 w 1439868"/>
                    <a:gd name="connsiteY6" fmla="*/ 21074 h 220787"/>
                    <a:gd name="connsiteX7" fmla="*/ 1418794 w 1439868"/>
                    <a:gd name="connsiteY7" fmla="*/ 199713 h 220787"/>
                    <a:gd name="connsiteX8" fmla="*/ 21074 w 1439868"/>
                    <a:gd name="connsiteY8" fmla="*/ 199713 h 220787"/>
                    <a:gd name="connsiteX9" fmla="*/ 21074 w 1439868"/>
                    <a:gd name="connsiteY9" fmla="*/ 21074 h 220787"/>
                    <a:gd name="connsiteX10" fmla="*/ 0 w 1439868"/>
                    <a:gd name="connsiteY10" fmla="*/ 0 h 220787"/>
                    <a:gd name="connsiteX11" fmla="*/ 21074 w 1439868"/>
                    <a:gd name="connsiteY11" fmla="*/ 21074 h 220787"/>
                    <a:gd name="connsiteX12" fmla="*/ 0 w 1439868"/>
                    <a:gd name="connsiteY12" fmla="*/ 220787 h 220787"/>
                    <a:gd name="connsiteX13" fmla="*/ 21074 w 1439868"/>
                    <a:gd name="connsiteY13" fmla="*/ 199713 h 220787"/>
                    <a:gd name="connsiteX14" fmla="*/ 1439868 w 1439868"/>
                    <a:gd name="connsiteY14" fmla="*/ 0 h 220787"/>
                    <a:gd name="connsiteX15" fmla="*/ 1418794 w 1439868"/>
                    <a:gd name="connsiteY15" fmla="*/ 21074 h 220787"/>
                    <a:gd name="connsiteX16" fmla="*/ 1439868 w 1439868"/>
                    <a:gd name="connsiteY16" fmla="*/ 220787 h 220787"/>
                    <a:gd name="connsiteX17" fmla="*/ 1418794 w 1439868"/>
                    <a:gd name="connsiteY17" fmla="*/ 199713 h 22078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</a:cxnLst>
                  <a:rect l="l" t="t" r="r" b="b"/>
                  <a:pathLst>
                    <a:path w="1439868" h="220787" stroke="0" extrusionOk="0">
                      <a:moveTo>
                        <a:pt x="21074" y="21074"/>
                      </a:moveTo>
                      <a:cubicBezTo>
                        <a:pt x="189294" y="11098"/>
                        <a:pt x="798716" y="16984"/>
                        <a:pt x="1418794" y="21074"/>
                      </a:cubicBezTo>
                      <a:cubicBezTo>
                        <a:pt x="1413026" y="80676"/>
                        <a:pt x="1411910" y="146996"/>
                        <a:pt x="1418794" y="199713"/>
                      </a:cubicBezTo>
                      <a:cubicBezTo>
                        <a:pt x="798138" y="281234"/>
                        <a:pt x="547921" y="249746"/>
                        <a:pt x="21074" y="199713"/>
                      </a:cubicBezTo>
                      <a:cubicBezTo>
                        <a:pt x="19343" y="133399"/>
                        <a:pt x="10461" y="59680"/>
                        <a:pt x="21074" y="21074"/>
                      </a:cubicBezTo>
                      <a:close/>
                    </a:path>
                    <a:path w="1439868" h="220787" fill="lightenLess" stroke="0" extrusionOk="0">
                      <a:moveTo>
                        <a:pt x="0" y="0"/>
                      </a:moveTo>
                      <a:cubicBezTo>
                        <a:pt x="423312" y="-83793"/>
                        <a:pt x="1009768" y="29972"/>
                        <a:pt x="1439868" y="0"/>
                      </a:cubicBezTo>
                      <a:cubicBezTo>
                        <a:pt x="1434660" y="7827"/>
                        <a:pt x="1427033" y="13492"/>
                        <a:pt x="1418794" y="21074"/>
                      </a:cubicBezTo>
                      <a:cubicBezTo>
                        <a:pt x="925594" y="103899"/>
                        <a:pt x="680440" y="-88247"/>
                        <a:pt x="21074" y="21074"/>
                      </a:cubicBezTo>
                      <a:cubicBezTo>
                        <a:pt x="16462" y="17124"/>
                        <a:pt x="7721" y="10046"/>
                        <a:pt x="0" y="0"/>
                      </a:cubicBezTo>
                      <a:close/>
                    </a:path>
                    <a:path w="1439868" h="220787" fill="darkenLess" stroke="0" extrusionOk="0">
                      <a:moveTo>
                        <a:pt x="0" y="220787"/>
                      </a:moveTo>
                      <a:cubicBezTo>
                        <a:pt x="4341" y="215534"/>
                        <a:pt x="17962" y="202641"/>
                        <a:pt x="21074" y="199713"/>
                      </a:cubicBezTo>
                      <a:cubicBezTo>
                        <a:pt x="185185" y="194168"/>
                        <a:pt x="775091" y="87173"/>
                        <a:pt x="1418794" y="199713"/>
                      </a:cubicBezTo>
                      <a:cubicBezTo>
                        <a:pt x="1429025" y="209545"/>
                        <a:pt x="1435106" y="218014"/>
                        <a:pt x="1439868" y="220787"/>
                      </a:cubicBezTo>
                      <a:cubicBezTo>
                        <a:pt x="978560" y="339139"/>
                        <a:pt x="397150" y="343503"/>
                        <a:pt x="0" y="220787"/>
                      </a:cubicBezTo>
                      <a:close/>
                    </a:path>
                    <a:path w="1439868" h="220787" fill="lighten" stroke="0" extrusionOk="0">
                      <a:moveTo>
                        <a:pt x="0" y="0"/>
                      </a:moveTo>
                      <a:cubicBezTo>
                        <a:pt x="11447" y="8746"/>
                        <a:pt x="17701" y="18592"/>
                        <a:pt x="21074" y="21074"/>
                      </a:cubicBezTo>
                      <a:cubicBezTo>
                        <a:pt x="16386" y="85844"/>
                        <a:pt x="12089" y="161528"/>
                        <a:pt x="21074" y="199713"/>
                      </a:cubicBezTo>
                      <a:cubicBezTo>
                        <a:pt x="14306" y="205409"/>
                        <a:pt x="7797" y="209404"/>
                        <a:pt x="0" y="220787"/>
                      </a:cubicBezTo>
                      <a:cubicBezTo>
                        <a:pt x="-15356" y="194475"/>
                        <a:pt x="-28" y="91745"/>
                        <a:pt x="0" y="0"/>
                      </a:cubicBezTo>
                      <a:close/>
                    </a:path>
                    <a:path w="1439868" h="220787" fill="darken" stroke="0" extrusionOk="0">
                      <a:moveTo>
                        <a:pt x="1439868" y="0"/>
                      </a:moveTo>
                      <a:cubicBezTo>
                        <a:pt x="1455300" y="99403"/>
                        <a:pt x="1449898" y="169982"/>
                        <a:pt x="1439868" y="220787"/>
                      </a:cubicBezTo>
                      <a:cubicBezTo>
                        <a:pt x="1436456" y="217394"/>
                        <a:pt x="1425789" y="203833"/>
                        <a:pt x="1418794" y="199713"/>
                      </a:cubicBezTo>
                      <a:cubicBezTo>
                        <a:pt x="1415908" y="160190"/>
                        <a:pt x="1422342" y="58627"/>
                        <a:pt x="1418794" y="21074"/>
                      </a:cubicBezTo>
                      <a:cubicBezTo>
                        <a:pt x="1422403" y="14496"/>
                        <a:pt x="1433786" y="8542"/>
                        <a:pt x="1439868" y="0"/>
                      </a:cubicBezTo>
                      <a:close/>
                    </a:path>
                    <a:path w="1439868" h="220787" fill="none" extrusionOk="0">
                      <a:moveTo>
                        <a:pt x="0" y="0"/>
                      </a:moveTo>
                      <a:cubicBezTo>
                        <a:pt x="703586" y="-24923"/>
                        <a:pt x="1123432" y="-29939"/>
                        <a:pt x="1439868" y="0"/>
                      </a:cubicBezTo>
                      <a:cubicBezTo>
                        <a:pt x="1423916" y="57685"/>
                        <a:pt x="1433837" y="161186"/>
                        <a:pt x="1439868" y="220787"/>
                      </a:cubicBezTo>
                      <a:cubicBezTo>
                        <a:pt x="850829" y="186653"/>
                        <a:pt x="571648" y="92159"/>
                        <a:pt x="0" y="220787"/>
                      </a:cubicBezTo>
                      <a:cubicBezTo>
                        <a:pt x="3759" y="140091"/>
                        <a:pt x="4929" y="72979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679340" y="139692"/>
                        <a:pt x="727377" y="83213"/>
                        <a:pt x="1418794" y="21074"/>
                      </a:cubicBezTo>
                      <a:cubicBezTo>
                        <a:pt x="1424146" y="72883"/>
                        <a:pt x="1417336" y="155957"/>
                        <a:pt x="1418794" y="199713"/>
                      </a:cubicBezTo>
                      <a:cubicBezTo>
                        <a:pt x="1000479" y="270170"/>
                        <a:pt x="591187" y="191022"/>
                        <a:pt x="21074" y="199713"/>
                      </a:cubicBezTo>
                      <a:cubicBezTo>
                        <a:pt x="10990" y="146355"/>
                        <a:pt x="8411" y="100645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5207" y="7823"/>
                        <a:pt x="13171" y="15617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8250" y="211498"/>
                        <a:pt x="16346" y="20793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582" y="6055"/>
                        <a:pt x="1424528" y="1494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2652" y="210406"/>
                        <a:pt x="1427167" y="207687"/>
                        <a:pt x="1418794" y="199713"/>
                      </a:cubicBezTo>
                    </a:path>
                    <a:path w="1439868" h="220787" fill="none" stroke="0" extrusionOk="0">
                      <a:moveTo>
                        <a:pt x="0" y="0"/>
                      </a:moveTo>
                      <a:cubicBezTo>
                        <a:pt x="339181" y="109132"/>
                        <a:pt x="920560" y="-20774"/>
                        <a:pt x="1439868" y="0"/>
                      </a:cubicBezTo>
                      <a:cubicBezTo>
                        <a:pt x="1422618" y="24161"/>
                        <a:pt x="1457972" y="121149"/>
                        <a:pt x="1439868" y="220787"/>
                      </a:cubicBezTo>
                      <a:cubicBezTo>
                        <a:pt x="1069299" y="149718"/>
                        <a:pt x="674109" y="347747"/>
                        <a:pt x="0" y="220787"/>
                      </a:cubicBezTo>
                      <a:cubicBezTo>
                        <a:pt x="-7201" y="132615"/>
                        <a:pt x="3358" y="66383"/>
                        <a:pt x="0" y="0"/>
                      </a:cubicBezTo>
                      <a:close/>
                      <a:moveTo>
                        <a:pt x="21074" y="21074"/>
                      </a:moveTo>
                      <a:cubicBezTo>
                        <a:pt x="351332" y="-93137"/>
                        <a:pt x="748392" y="24804"/>
                        <a:pt x="1418794" y="21074"/>
                      </a:cubicBezTo>
                      <a:cubicBezTo>
                        <a:pt x="1419712" y="106913"/>
                        <a:pt x="1423694" y="164310"/>
                        <a:pt x="1418794" y="199713"/>
                      </a:cubicBezTo>
                      <a:cubicBezTo>
                        <a:pt x="1002931" y="163016"/>
                        <a:pt x="647965" y="268887"/>
                        <a:pt x="21074" y="199713"/>
                      </a:cubicBezTo>
                      <a:cubicBezTo>
                        <a:pt x="14729" y="177789"/>
                        <a:pt x="30413" y="53252"/>
                        <a:pt x="21074" y="21074"/>
                      </a:cubicBezTo>
                      <a:close/>
                      <a:moveTo>
                        <a:pt x="0" y="0"/>
                      </a:moveTo>
                      <a:cubicBezTo>
                        <a:pt x="6734" y="7398"/>
                        <a:pt x="12744" y="9362"/>
                        <a:pt x="21074" y="21074"/>
                      </a:cubicBezTo>
                      <a:moveTo>
                        <a:pt x="0" y="220787"/>
                      </a:moveTo>
                      <a:cubicBezTo>
                        <a:pt x="6766" y="214236"/>
                        <a:pt x="15655" y="204394"/>
                        <a:pt x="21074" y="199713"/>
                      </a:cubicBezTo>
                      <a:moveTo>
                        <a:pt x="1439868" y="0"/>
                      </a:moveTo>
                      <a:cubicBezTo>
                        <a:pt x="1430410" y="8355"/>
                        <a:pt x="1427426" y="15602"/>
                        <a:pt x="1418794" y="21074"/>
                      </a:cubicBezTo>
                      <a:moveTo>
                        <a:pt x="1439868" y="220787"/>
                      </a:moveTo>
                      <a:cubicBezTo>
                        <a:pt x="1435281" y="214061"/>
                        <a:pt x="1424693" y="206628"/>
                        <a:pt x="1418794" y="199713"/>
                      </a:cubicBezTo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LE PROJET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A5B33-89B8-4BF8-B541-CD70193AB27B}" name="T_PROFILES" displayName="T_PROFILES" ref="B2:C10" totalsRowShown="0">
  <autoFilter ref="B2:C10" xr:uid="{894A5B33-89B8-4BF8-B541-CD70193AB27B}"/>
  <tableColumns count="2">
    <tableColumn id="1" xr3:uid="{D28A8B4B-5BEA-44D9-A5BE-66C93C5E729C}" name="PROFILES"/>
    <tableColumn id="2" xr3:uid="{B121DD11-0D26-431F-B3DA-5C13554CAEEE}" name="I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F9C557-FD6A-43CF-80F4-524464FFAAFE}" name="T_COMPTES" displayName="T_COMPTES" ref="E2:H5" totalsRowShown="0">
  <autoFilter ref="E2:H5" xr:uid="{CBF9C557-FD6A-43CF-80F4-524464FFAAFE}"/>
  <tableColumns count="4">
    <tableColumn id="1" xr3:uid="{038B18BE-71CF-4B34-AF7C-F01E8C97FD06}" name="COMPTES"/>
    <tableColumn id="2" xr3:uid="{2D5D3764-CF57-4528-BD93-89B13F327DB4}" name="PW"/>
    <tableColumn id="3" xr3:uid="{104ED893-8541-4AE4-BC26-4A74F89A2C67}" name="ID_Profil"/>
    <tableColumn id="4" xr3:uid="{0D4AF1B5-2D48-4212-8276-9AE24B781619}" name="PROFILES" dataDxfId="13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4049DE-1376-43D8-92AC-19A653206349}" name="TABLEAU_DE_BORD" displayName="TABLEAU_DE_BORD" ref="B17:S24" totalsRowShown="0" headerRowDxfId="127" dataDxfId="126">
  <autoFilter ref="B17:S24" xr:uid="{8C4049DE-1376-43D8-92AC-19A6532063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sortState xmlns:xlrd2="http://schemas.microsoft.com/office/spreadsheetml/2017/richdata2" ref="B18:S24">
    <sortCondition sortBy="cellColor" ref="B17:B24" dxfId="0"/>
  </sortState>
  <tableColumns count="18">
    <tableColumn id="1" xr3:uid="{1DDE7D33-1C4F-4E6B-929A-5F9D062600A3}" name="PAQUETS" dataDxfId="125" dataCellStyle="NiveauColonne_1"/>
    <tableColumn id="2" xr3:uid="{1A76A93F-0AD8-4B65-8B33-AA12EA746B9A}" name="Quincaillerie Atelier" dataDxfId="124">
      <calculatedColumnFormula>IF(COUNTIF(T_QUINCAILLERIE_Paquet_Atelier[Paquet],$B18)&gt;0,"VOIR LISTE","")</calculatedColumnFormula>
    </tableColumn>
    <tableColumn id="3" xr3:uid="{51289589-B4D0-4557-809C-6E97AC786BC3}" name="Zinguerie Atelier" dataDxfId="123">
      <calculatedColumnFormula>IF(COUNTIF(T_ZINGUERIE_Paquet_Atelier[Paquet],$B18)&gt;0,"VOIR LISTE","")</calculatedColumnFormula>
    </tableColumn>
    <tableColumn id="4" xr3:uid="{2D40699B-6447-4102-8AAC-6EF641F34DC7}" name="Prépa. Atelier" dataDxfId="122">
      <calculatedColumnFormula>IF(COUNTIF(T_PREPA_Paquet_Atelier[Paquet],$B18)&gt;0,"VOIR LISTE","")</calculatedColumnFormula>
    </tableColumn>
    <tableColumn id="5" xr3:uid="{1F20B2D4-E68E-486B-90A9-7BB5761C6523}" name="Taillé" dataDxfId="121">
      <calculatedColumnFormula>"A FAIRE"</calculatedColumnFormula>
    </tableColumn>
    <tableColumn id="6" xr3:uid="{7C679719-82C8-4026-98EE-B817D40FAA5C}" name="Traité" dataDxfId="120">
      <calculatedColumnFormula>"A FAIRE"</calculatedColumnFormula>
    </tableColumn>
    <tableColumn id="7" xr3:uid="{C208AC88-55A4-4011-964E-7FAF4C62A90D}" name="Assemblé en Atelier" dataDxfId="119">
      <calculatedColumnFormula>"A FAIRE"</calculatedColumnFormula>
    </tableColumn>
    <tableColumn id="9" xr3:uid="{19603D6A-6E39-40C5-8528-DDE594A94DA9}" name="Contrôle Atelier" dataDxfId="118">
      <calculatedColumnFormula>"A FAIRE"</calculatedColumnFormula>
    </tableColumn>
    <tableColumn id="10" xr3:uid="{2BA2D8D5-BB76-4ABD-AFAB-FC4947E7A056}" name="Stocké" dataDxfId="117">
      <calculatedColumnFormula>"A FAIRE"</calculatedColumnFormula>
    </tableColumn>
    <tableColumn id="12" xr3:uid="{217EF6C9-AD64-488D-A6E4-9C05487A9020}" name="Quincaillerie Chantier" dataDxfId="116" dataCellStyle="NiveauColonne_1">
      <calculatedColumnFormula>IF(COUNTIF(T_QUINCAILLERIE_Paquet_Chantier[Paquet],$B18)&gt;0,"VOIR LISTE","")</calculatedColumnFormula>
    </tableColumn>
    <tableColumn id="13" xr3:uid="{F76D762D-F61F-4DE5-998D-C67DF124A706}" name="Zinguerie Chantier" dataDxfId="115">
      <calculatedColumnFormula>IF(COUNTIF(T_ZINGUERIE_Paquet_Chantier[Paquet],$B18)&gt;0,"VOIR LISTE","")</calculatedColumnFormula>
    </tableColumn>
    <tableColumn id="14" xr3:uid="{A595CD34-047E-454A-A1D0-7DE319C95CDF}" name="Prépa. Chantier" dataDxfId="114">
      <calculatedColumnFormula>IF(COUNTIF(T_PREPA_Paquet_Chantier[Paquet],$B18)&gt;0,"VOIR LISTE","")</calculatedColumnFormula>
    </tableColumn>
    <tableColumn id="11" xr3:uid="{57D5DC3B-B14E-4407-9091-0312DE640781}" name="Chargé" dataDxfId="113">
      <calculatedColumnFormula>"A FAIRE"</calculatedColumnFormula>
    </tableColumn>
    <tableColumn id="15" xr3:uid="{17EBFEAD-E591-4DFB-8589-5D4EE56EE699}" name="Livré" dataDxfId="112">
      <calculatedColumnFormula>"A FAIRE"</calculatedColumnFormula>
    </tableColumn>
    <tableColumn id="16" xr3:uid="{E445ECBD-7E5E-472B-81D3-997CEFC6C3C5}" name="Posé" dataDxfId="111">
      <calculatedColumnFormula>"A FAIRE"</calculatedColumnFormula>
    </tableColumn>
    <tableColumn id="18" xr3:uid="{86E03902-2B69-4FFF-9F74-7CA4618C2450}" name="Fixé" dataDxfId="110">
      <calculatedColumnFormula>"A FAIRE"</calculatedColumnFormula>
    </tableColumn>
    <tableColumn id="20" xr3:uid="{067A8A67-DA6E-4E3B-B3D5-A804FAFBF27E}" name="Finition" dataDxfId="109">
      <calculatedColumnFormula>"A FAIRE"</calculatedColumnFormula>
    </tableColumn>
    <tableColumn id="21" xr3:uid="{DC3C02A3-9B8E-439E-9B5C-AEEF07B366CB}" name="Contrôle Chantier" dataDxfId="108">
      <calculatedColumnFormula>"A FAIRE"</calculatedColumnFormula>
    </tableColumn>
  </tableColumns>
  <tableStyleInfo name="TableStyleMedium8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D5C11E-AB6B-49EA-99D6-CF5021FB6C2D}" name="T_PREPA_Goblal" displayName="T_PREPA_Goblal" ref="C6:L11" totalsRowShown="0" headerRowDxfId="107" dataDxfId="106">
  <autoFilter ref="C6:L11" xr:uid="{E6F69E36-6B87-4392-ACAC-167594C47961}"/>
  <tableColumns count="10">
    <tableColumn id="1" xr3:uid="{3C9285F5-9AA2-4DE7-A913-B0F6828D1FFB}" name="Désignation" dataDxfId="105"/>
    <tableColumn id="6" xr3:uid="{41A77DBE-BC57-4B8D-A01A-CECE86F2A68D}" name="N°" dataDxfId="104"/>
    <tableColumn id="2" xr3:uid="{08BC5E2B-D319-485C-95F6-A5B0569E440E}" name="Matériau" dataDxfId="103"/>
    <tableColumn id="9" xr3:uid="{5DC77A81-A2BE-475B-B2F9-964DD26B3E5F}" name="Essence" dataDxfId="102"/>
    <tableColumn id="8" xr3:uid="{CAAD0ABD-8D4A-43A6-B9B6-CD66D42CACA5}" name="Classe" dataDxfId="101"/>
    <tableColumn id="7" xr3:uid="{24230057-B61A-4518-95D2-4781554FC300}" name="Dimension" dataDxfId="100"/>
    <tableColumn id="10" xr3:uid="{D9591ABC-A97F-42DB-A292-1CB89996A203}" name="Long." dataDxfId="99"/>
    <tableColumn id="4" xr3:uid="{384EE755-9379-4218-A56F-4630BEFB3D80}" name="Qté" dataDxfId="98"/>
    <tableColumn id="3" xr3:uid="{EF4C7AD8-65B9-4A84-AA3F-7794343A6D50}" name="-" dataDxfId="97"/>
    <tableColumn id="5" xr3:uid="{79CEC700-FD16-48E6-8A16-B9B2BD99288F}" name="Prêt" dataDxfId="96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BC9800-A728-4D8E-9839-4AF301C81803}" name="T_PREPA_Paquet_Atelier" displayName="T_PREPA_Paquet_Atelier" ref="B14:L19" totalsRowShown="0" headerRowDxfId="95" dataDxfId="94">
  <autoFilter ref="B14:L19" xr:uid="{B04758A5-4480-4251-B0FC-4D5B5F6F2E5D}"/>
  <sortState xmlns:xlrd2="http://schemas.microsoft.com/office/spreadsheetml/2017/richdata2" ref="B15:L19">
    <sortCondition ref="B14:B19"/>
  </sortState>
  <tableColumns count="11">
    <tableColumn id="1" xr3:uid="{EEF5FFC9-D2B7-4DE0-84B9-895BCD7AD291}" name="Paquet" dataDxfId="93"/>
    <tableColumn id="5" xr3:uid="{B9371F0E-5ACE-42D5-9351-D47F361F4162}" name="Désignation" dataDxfId="92"/>
    <tableColumn id="6" xr3:uid="{6366193C-8BFF-4D65-AEA5-1BB413637A0C}" name="N°" dataDxfId="91"/>
    <tableColumn id="2" xr3:uid="{3D1F1A55-A0EF-4D39-B9B4-6708DC4F4926}" name="Matériau" dataDxfId="90"/>
    <tableColumn id="11" xr3:uid="{08E47012-9C0F-4509-B7AE-E2EEE872CD76}" name="Essence" dataDxfId="89"/>
    <tableColumn id="10" xr3:uid="{EF04AC4A-F3FB-4979-97C7-93DBE11EA520}" name="Classe" dataDxfId="88"/>
    <tableColumn id="9" xr3:uid="{059A3117-C034-4DB0-A4A0-CCC4583162AA}" name="Dimension" dataDxfId="87"/>
    <tableColumn id="8" xr3:uid="{D73772F5-A087-46AB-81C1-1DA9FEBD9ED6}" name="Long." dataDxfId="86"/>
    <tableColumn id="4" xr3:uid="{A8C83324-3449-4B81-B1D1-15F0A0B1D6C4}" name="Qté" dataDxfId="85"/>
    <tableColumn id="3" xr3:uid="{FD5A83DF-66D0-441B-A521-933A4D569CAE}" name=" " dataDxfId="84"/>
    <tableColumn id="7" xr3:uid="{D237E472-4C1F-4EC5-82C0-D955B5585D6B}" name="Prêt" dataDxfId="83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ED36CB-44CC-4682-9C7D-F0FCC23E051B}" name="T_PREPA_Paquet_Chantier" displayName="T_PREPA_Paquet_Chantier" ref="B22:L26" totalsRowShown="0" headerRowDxfId="82" dataDxfId="81">
  <autoFilter ref="B22:L26" xr:uid="{F50FD31C-85AD-475A-9550-553217FB2E05}"/>
  <sortState xmlns:xlrd2="http://schemas.microsoft.com/office/spreadsheetml/2017/richdata2" ref="B23:L26">
    <sortCondition ref="B22:B26"/>
  </sortState>
  <tableColumns count="11">
    <tableColumn id="1" xr3:uid="{015D8C7C-A6D3-4E55-82FB-762C5E94847B}" name="Paquet" dataDxfId="80"/>
    <tableColumn id="5" xr3:uid="{23316E6C-5A06-4803-849F-19C4B5754D7B}" name="Désignation" dataDxfId="79"/>
    <tableColumn id="6" xr3:uid="{A41FE746-E379-4860-B006-FD7ECD1B348A}" name="N°" dataDxfId="78"/>
    <tableColumn id="2" xr3:uid="{D64EF94E-2850-467A-999E-F1B5B6323926}" name="Matériau" dataDxfId="77"/>
    <tableColumn id="11" xr3:uid="{E9F04B14-992E-4E89-A8FB-4F9D4940AB52}" name="Essence" dataDxfId="76"/>
    <tableColumn id="10" xr3:uid="{D6DF61E6-EA78-42E3-914B-1E49B8730BC8}" name="Classe" dataDxfId="75"/>
    <tableColumn id="9" xr3:uid="{3234CC7B-6216-469F-BB7B-9C2615ABDD51}" name="Dimension" dataDxfId="74"/>
    <tableColumn id="8" xr3:uid="{AE548F6D-DCCB-4499-9033-6003BEE44B35}" name="Long." dataDxfId="73"/>
    <tableColumn id="4" xr3:uid="{35D29AAE-2F99-4053-A3EB-4E58AA40A491}" name="Qté" dataDxfId="72"/>
    <tableColumn id="3" xr3:uid="{37860936-457A-44D8-B745-BF2EB1E75018}" name=" " dataDxfId="71"/>
    <tableColumn id="7" xr3:uid="{CE3BD76C-EF1C-47B3-80B8-E2C177AB3E24}" name="Prêt" dataDxfId="70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B25A-7720-480F-8E9B-413B01DD4949}" name="T_QUINCAILLERIE_Magasinier" displayName="T_QUINCAILLERIE_Magasinier" ref="B9:G19" totalsRowShown="0" headerRowDxfId="69" dataDxfId="68">
  <autoFilter ref="B9:G19" xr:uid="{E6F69E36-6B87-4392-ACAC-167594C47961}"/>
  <tableColumns count="6">
    <tableColumn id="6" xr3:uid="{DC2E6C18-F416-4A3F-AAD2-B94DF8FBD233}" name="Assemblage" dataDxfId="67">
      <calculatedColumnFormula>IF(   (COUNTIF(T_ELEMENTS_FERRURES[Element de],"*"&amp;LEFT(T_QUINCAILLERIE_Magasinier[[#This Row],[Désignation]],17))&gt;0)    * (T_QUINCAILLERIE_Magasinier[[#This Row],[Désignation]]&lt;&gt;""),"voir plan","")</calculatedColumnFormula>
    </tableColumn>
    <tableColumn id="1" xr3:uid="{F98FAF19-C1BF-4955-B99C-56496403A655}" name="Désignation" dataDxfId="66"/>
    <tableColumn id="2" xr3:uid="{1B80AB11-2AFA-4D00-B7A5-D5F9939842A0}" name="Matériau" dataDxfId="65"/>
    <tableColumn id="4" xr3:uid="{ECD12A10-ACB3-42FD-864A-36DF1F3A491D}" name="Qté" dataDxfId="64"/>
    <tableColumn id="3" xr3:uid="{20AD6782-2692-47A2-8CB0-5404E67F160D}" name="-" dataDxfId="63"/>
    <tableColumn id="5" xr3:uid="{2DE09A4F-B885-4B60-AE7C-442ED7AEBD4B}" name="Prêt" dataDxfId="62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EF476D-2D48-4E39-A953-FE4CD230F7F6}" name="T_QUINCAILLERIE_Paquet_Atelier" displayName="T_QUINCAILLERIE_Paquet_Atelier" ref="B22:G27" totalsRowShown="0" headerRowDxfId="61" dataDxfId="60">
  <autoFilter ref="B22:G27" xr:uid="{B04758A5-4480-4251-B0FC-4D5B5F6F2E5D}"/>
  <sortState xmlns:xlrd2="http://schemas.microsoft.com/office/spreadsheetml/2017/richdata2" ref="B23:G27">
    <sortCondition ref="B22:B27"/>
  </sortState>
  <tableColumns count="6">
    <tableColumn id="1" xr3:uid="{568A0ABF-7181-4A81-B6FF-11156586AAA0}" name="Paquet" dataDxfId="59"/>
    <tableColumn id="5" xr3:uid="{AAB4B5C2-9D6D-497C-97D9-CACB5BF81D52}" name="Désignation" dataDxfId="58"/>
    <tableColumn id="2" xr3:uid="{10AFE9B3-28D5-48D0-8C64-AE27B8AEB6A4}" name="Matériau" dataDxfId="57"/>
    <tableColumn id="4" xr3:uid="{883B7CC3-8E16-403A-AFA8-3937CFBE7A9A}" name="Qté" dataDxfId="56"/>
    <tableColumn id="3" xr3:uid="{DAFBE898-55D6-48AA-90F7-DFDCEE72602C}" name="-" dataDxfId="55"/>
    <tableColumn id="7" xr3:uid="{08D0FFCF-68B8-4CF1-A428-B7E27D5EBB8F}" name="Prêt" dataDxfId="54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0FD31C-85AD-475A-9550-553217FB2E05}" name="T_QUINCAILLERIE_Paquet_Chantier" displayName="T_QUINCAILLERIE_Paquet_Chantier" ref="B30:G39" totalsRowShown="0" headerRowDxfId="53" dataDxfId="52">
  <autoFilter ref="B30:G39" xr:uid="{F50FD31C-85AD-475A-9550-553217FB2E05}"/>
  <sortState xmlns:xlrd2="http://schemas.microsoft.com/office/spreadsheetml/2017/richdata2" ref="B31:G39">
    <sortCondition ref="B30:B39"/>
  </sortState>
  <tableColumns count="6">
    <tableColumn id="1" xr3:uid="{8985EE59-301A-4C81-B0F4-F1A65F3736AF}" name="Paquet" dataDxfId="51"/>
    <tableColumn id="5" xr3:uid="{9B5A1DBF-E76D-41B1-BA95-DAAFC022403D}" name="Désignation" dataDxfId="50"/>
    <tableColumn id="2" xr3:uid="{3C92091E-9806-4893-822D-32EB4B8B6EF6}" name="Matériau" dataDxfId="49"/>
    <tableColumn id="4" xr3:uid="{9D6C9F1A-6DDC-4C50-B353-7832D2903CC8}" name="Qté" dataDxfId="48"/>
    <tableColumn id="3" xr3:uid="{0275CD9A-60E3-4040-8799-97CE1CFC85AC}" name="-" dataDxfId="47"/>
    <tableColumn id="7" xr3:uid="{4FA61316-A09B-4BD0-8CC1-D4691C5CF818}" name="Prêt" dataDxfId="46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DD0C84-4D70-4083-922E-A1AFAFAC349E}" name="T_ZINGUERIE_Goblal" displayName="T_ZINGUERIE_Goblal" ref="C9:G13" totalsRowShown="0" headerRowDxfId="45" dataDxfId="44">
  <autoFilter ref="C9:G13" xr:uid="{E6F69E36-6B87-4392-ACAC-167594C47961}"/>
  <tableColumns count="5">
    <tableColumn id="1" xr3:uid="{53F5511C-D9AA-4CD6-8F86-EA8A2AC9C03D}" name="Désignation" dataDxfId="43"/>
    <tableColumn id="2" xr3:uid="{DC12BEFC-2390-4CB3-83CA-23A7A5FBCCF8}" name="Matériau" dataDxfId="42"/>
    <tableColumn id="4" xr3:uid="{10D2BC47-EE7B-4DA5-B929-ED292BBA0465}" name="Qté" dataDxfId="41"/>
    <tableColumn id="3" xr3:uid="{773AD0BE-65BF-46EA-A426-40576B028785}" name="-" dataDxfId="40"/>
    <tableColumn id="5" xr3:uid="{7D4797A5-A4FC-412A-9005-6482DF24B14D}" name="Prêt" dataDxfId="39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41C6CCE-EF1B-4D32-9E6A-9BC47DC867F4}" name="T_ZINGUERIE_Paquet_Atelier" displayName="T_ZINGUERIE_Paquet_Atelier" ref="B16:G20" totalsRowShown="0" headerRowDxfId="38" dataDxfId="37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7258742E-6546-4C96-8FDF-D6BCD20BBD5D}" name="Paquet" dataDxfId="36"/>
    <tableColumn id="5" xr3:uid="{4EC9F0F0-F862-47F3-BAE2-AFD228CCC6EE}" name="Désignation" dataDxfId="35"/>
    <tableColumn id="2" xr3:uid="{F554D378-18CF-4123-8CA2-4089C8D4E44B}" name="Matériau" dataDxfId="34"/>
    <tableColumn id="4" xr3:uid="{9125C89C-B294-444E-A703-40CF9B7288A4}" name="Qté" dataDxfId="33"/>
    <tableColumn id="3" xr3:uid="{E8C43B02-2FF0-45E1-A1F9-9B75D14E6410}" name="-" dataDxfId="32"/>
    <tableColumn id="7" xr3:uid="{8D660AE0-ABCF-4C64-B5A8-049D8F0FC894}" name="Prêt" dataDxfId="31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3CF389E-0D92-40DF-AD45-3FDC8BB19B27}" name="T_ZINGUERIE_Paquet_Chantier" displayName="T_ZINGUERIE_Paquet_Chantier" ref="B23:G27" totalsRowShown="0" headerRowDxfId="30" dataDxfId="29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90D77423-191B-45DD-A1F8-8A321E838F67}" name="Paquet" dataDxfId="28"/>
    <tableColumn id="5" xr3:uid="{F1B6DF65-6852-48C0-9B7E-077EDA338CEB}" name="Désignation" dataDxfId="27"/>
    <tableColumn id="2" xr3:uid="{E1941A86-78A2-465C-920A-C64175AFE9CE}" name="Matériau" dataDxfId="26"/>
    <tableColumn id="4" xr3:uid="{6C1A886F-4582-48C4-A07B-2773E705F87B}" name="Qté" dataDxfId="25"/>
    <tableColumn id="3" xr3:uid="{D61FDB89-F701-4038-864D-A22CF9B6F857}" name="-" dataDxfId="24"/>
    <tableColumn id="7" xr3:uid="{0017B7BF-DB60-4D03-93B8-8ACABC255EC5}" name="Prêt" dataDxfId="23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138935-7AB4-4201-AE23-C4A55AC3A9DE}" name="T_ELEMENTS_FERRURES" displayName="T_ELEMENTS_FERRURES" ref="B3:E10" totalsRowShown="0">
  <autoFilter ref="B3:E10" xr:uid="{98138935-7AB4-4201-AE23-C4A55AC3A9DE}"/>
  <tableColumns count="4">
    <tableColumn id="1" xr3:uid="{061700C4-4C54-4FE4-AE87-FA75BB41E298}" name="Element de" dataDxfId="22"/>
    <tableColumn id="2" xr3:uid="{A50C459A-B7E9-499C-8E84-5126390CA2E7}" name="Désignation" dataDxfId="21"/>
    <tableColumn id="4" xr3:uid="{04561609-7610-47BA-A52C-61458D0C96B3}" name="N°" dataDxfId="20"/>
    <tableColumn id="5" xr3:uid="{69DCEDE7-8648-43CD-B76F-E15350E8F739}" name="Qté" dataDxfId="19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DE621D-2293-49E7-8405-FF297D3E8C23}" name="T_Dimension_Murs_et_Caisson" displayName="T_Dimension_Murs_et_Caisson" ref="B6:E8" totalsRowShown="0">
  <autoFilter ref="B6:E8" xr:uid="{64E86EDB-476A-442A-8BC3-EA44B5A72AE3}"/>
  <tableColumns count="4">
    <tableColumn id="1" xr3:uid="{F3983118-78E2-4A77-B126-075DF9FB989D}" name="PAQUET"/>
    <tableColumn id="2" xr3:uid="{BBF29AC8-BAE3-4420-B794-1ACC521BC3F5}" name="Longueur" dataDxfId="18"/>
    <tableColumn id="3" xr3:uid="{69337440-2982-4719-A550-8A5D7A788945}" name="Largeur" dataDxfId="17"/>
    <tableColumn id="4" xr3:uid="{7D97E299-C651-44EA-B203-3E7F649B9DAC}" name="Epaisseur" dataDxfId="16"/>
  </tableColumns>
  <tableStyleInfo name="TableStyleMedium2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6512A4-F459-4F84-899A-F501F523F71F}" name="T_A_TRAITER" displayName="T_A_TRAITER" ref="B10:F12" totalsRowShown="0" headerRowDxfId="15" dataDxfId="14">
  <autoFilter ref="B10:F12" xr:uid="{E34661AD-B7A6-44EF-B91C-FBB6389459CA}"/>
  <tableColumns count="5">
    <tableColumn id="1" xr3:uid="{CB739DEC-7F17-4BD6-A772-DED76040C16F}" name="Paquet" dataDxfId="13"/>
    <tableColumn id="2" xr3:uid="{0BD5DA46-D502-4FD6-8F8B-7598A7A25020}" name="Matériau" dataDxfId="12"/>
    <tableColumn id="3" xr3:uid="{8AA6D28E-346F-445F-973C-190D62435A43}" name="Classe" dataDxfId="11"/>
    <tableColumn id="5" xr3:uid="{993EAAAD-BB0D-40FC-A1E4-B623E959C8BE}" name="Finition" dataDxfId="10"/>
    <tableColumn id="4" xr3:uid="{3215A35F-0672-4A5A-B60B-A7E841030132}" name="Volume" dataDxfId="9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3FD9E4-B6E9-4492-915A-B93087232A3C}" name="T_Question" displayName="T_Question" ref="C4:D6" totalsRowShown="0" headerRowDxfId="8" dataDxfId="7">
  <autoFilter ref="C4:D6" xr:uid="{082B26DB-E9DC-4907-BBDE-FE7C47980DB2}"/>
  <tableColumns count="2">
    <tableColumn id="1" xr3:uid="{3079D95F-4715-4D5A-87D3-2E18BB67CF58}" name="Questions" dataDxfId="6"/>
    <tableColumn id="2" xr3:uid="{0CE675B3-B9CC-48EC-8217-C7FFA0A1F42B}" name="Traité" dataDxfId="5">
      <calculatedColumnFormula>IF(T_Question[[#This Row],[Questions]]="","","non")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79AA41-C97C-4551-835F-5ED2E1374C88}" name="Tableau_Pense_bete" displayName="Tableau_Pense_bete" ref="C13:D15" totalsRowShown="0" headerRowDxfId="4" dataDxfId="3">
  <autoFilter ref="C13:D15" xr:uid="{04B3D69A-DE50-4EE4-BD37-F8C661DDA37A}"/>
  <tableColumns count="2">
    <tableColumn id="1" xr3:uid="{043E2E4C-68FB-44E8-8006-6B3CE81B28AD}" name="Penses Bête" dataDxfId="2"/>
    <tableColumn id="2" xr3:uid="{2B8FEE09-7BCB-4BFD-A1C8-CAA9014A5E03}" name="Traité" dataDxfId="1">
      <calculatedColumnFormula>IF(Tableau_Pense_bete[[#This Row],[Penses Bête]]="","","non")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E16E7-4404-477B-986D-BAD0DFE1F9E9}">
  <sheetPr codeName="Feuil10"/>
  <dimension ref="B2:H10"/>
  <sheetViews>
    <sheetView showGridLines="0" showRowColHeaders="0" zoomScale="250" zoomScaleNormal="250" workbookViewId="0">
      <selection activeCell="J4" sqref="J4"/>
    </sheetView>
  </sheetViews>
  <sheetFormatPr baseColWidth="10" defaultRowHeight="15" x14ac:dyDescent="0.25"/>
  <cols>
    <col min="1" max="1" width="4.42578125" customWidth="1"/>
    <col min="2" max="2" width="38.7109375" customWidth="1"/>
    <col min="3" max="3" width="11.42578125" hidden="1" customWidth="1"/>
    <col min="4" max="5" width="0" hidden="1" customWidth="1"/>
    <col min="6" max="7" width="11.42578125" hidden="1" customWidth="1"/>
    <col min="8" max="8" width="0" hidden="1" customWidth="1"/>
  </cols>
  <sheetData>
    <row r="2" spans="2:8" x14ac:dyDescent="0.25">
      <c r="B2" t="s">
        <v>52</v>
      </c>
      <c r="C2" t="s">
        <v>68</v>
      </c>
      <c r="E2" t="s">
        <v>62</v>
      </c>
      <c r="F2" t="s">
        <v>63</v>
      </c>
      <c r="G2" t="s">
        <v>64</v>
      </c>
      <c r="H2" t="s">
        <v>52</v>
      </c>
    </row>
    <row r="3" spans="2:8" x14ac:dyDescent="0.25">
      <c r="B3" t="s">
        <v>53</v>
      </c>
      <c r="C3">
        <v>1</v>
      </c>
      <c r="E3" t="s">
        <v>65</v>
      </c>
      <c r="F3" t="s">
        <v>76</v>
      </c>
      <c r="G3">
        <v>1</v>
      </c>
    </row>
    <row r="4" spans="2:8" x14ac:dyDescent="0.25">
      <c r="B4" t="s">
        <v>54</v>
      </c>
      <c r="C4">
        <v>2</v>
      </c>
      <c r="E4" t="s">
        <v>66</v>
      </c>
      <c r="F4" t="s">
        <v>77</v>
      </c>
      <c r="G4">
        <v>3</v>
      </c>
    </row>
    <row r="5" spans="2:8" x14ac:dyDescent="0.25">
      <c r="B5" t="s">
        <v>55</v>
      </c>
      <c r="C5">
        <v>3</v>
      </c>
      <c r="E5" t="s">
        <v>67</v>
      </c>
      <c r="F5" t="s">
        <v>78</v>
      </c>
      <c r="G5">
        <v>3</v>
      </c>
    </row>
    <row r="6" spans="2:8" x14ac:dyDescent="0.25">
      <c r="B6" t="s">
        <v>56</v>
      </c>
      <c r="C6">
        <v>4</v>
      </c>
    </row>
    <row r="7" spans="2:8" x14ac:dyDescent="0.25">
      <c r="B7" t="s">
        <v>57</v>
      </c>
      <c r="C7">
        <v>5</v>
      </c>
    </row>
    <row r="8" spans="2:8" x14ac:dyDescent="0.25">
      <c r="B8" t="s">
        <v>59</v>
      </c>
      <c r="C8">
        <v>6</v>
      </c>
    </row>
    <row r="9" spans="2:8" x14ac:dyDescent="0.25">
      <c r="B9" t="s">
        <v>58</v>
      </c>
      <c r="C9">
        <v>7</v>
      </c>
    </row>
    <row r="10" spans="2:8" x14ac:dyDescent="0.25">
      <c r="B10" t="s">
        <v>60</v>
      </c>
      <c r="C10">
        <v>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applyStyles="1" summaryRight="0"/>
    <pageSetUpPr fitToPage="1"/>
  </sheetPr>
  <dimension ref="A1:S195"/>
  <sheetViews>
    <sheetView showGridLines="0" tabSelected="1" zoomScaleNormal="100" zoomScaleSheetLayoutView="130" workbookViewId="0">
      <pane ySplit="17" topLeftCell="A18" activePane="bottomLeft" state="frozen"/>
      <selection pane="bottomLeft" activeCell="I27" sqref="I27"/>
    </sheetView>
  </sheetViews>
  <sheetFormatPr baseColWidth="10" defaultColWidth="9.140625" defaultRowHeight="15" x14ac:dyDescent="0.25"/>
  <cols>
    <col min="1" max="1" width="2.42578125" customWidth="1"/>
    <col min="2" max="2" width="28.5703125" style="35" customWidth="1"/>
    <col min="3" max="11" width="13.7109375" customWidth="1"/>
    <col min="12" max="12" width="13.7109375" style="35" customWidth="1"/>
    <col min="13" max="19" width="13.7109375" customWidth="1"/>
  </cols>
  <sheetData>
    <row r="1" spans="2:19" ht="6.75" hidden="1" customHeight="1" x14ac:dyDescent="0.25">
      <c r="C1" s="53"/>
      <c r="D1" s="53"/>
      <c r="E1" s="53"/>
      <c r="F1" s="53"/>
      <c r="G1" s="53"/>
      <c r="H1" s="53"/>
      <c r="I1" s="53"/>
      <c r="J1" s="53"/>
      <c r="K1" s="55"/>
      <c r="L1" s="54"/>
      <c r="M1" s="55"/>
      <c r="N1" s="55"/>
      <c r="O1" s="55"/>
      <c r="P1" s="55"/>
      <c r="Q1" s="55"/>
      <c r="R1" s="55"/>
      <c r="S1" s="55"/>
    </row>
    <row r="2" spans="2:19" ht="16.5" customHeight="1" thickBot="1" x14ac:dyDescent="0.3"/>
    <row r="3" spans="2:19" ht="15.75" customHeight="1" x14ac:dyDescent="0.25">
      <c r="B3" s="1" t="s">
        <v>61</v>
      </c>
      <c r="C3" s="73" t="s">
        <v>47</v>
      </c>
      <c r="D3" s="37" t="s">
        <v>1</v>
      </c>
      <c r="E3" s="64" t="s">
        <v>92</v>
      </c>
      <c r="F3" s="65"/>
      <c r="G3" s="70" t="s">
        <v>88</v>
      </c>
      <c r="H3" s="71"/>
      <c r="I3" s="68" t="s">
        <v>89</v>
      </c>
      <c r="J3" s="69"/>
      <c r="K3" s="74" t="s">
        <v>48</v>
      </c>
      <c r="L3" s="37" t="s">
        <v>1</v>
      </c>
      <c r="M3" s="75" t="str">
        <f>Projet_Suivi_par</f>
        <v>Yannick</v>
      </c>
      <c r="N3" s="76"/>
      <c r="O3" s="71" t="str">
        <f>Projet_ref</f>
        <v>PROJET SEMA TEST</v>
      </c>
      <c r="P3" s="71"/>
      <c r="Q3" s="77" t="str">
        <f xml:space="preserve"> Projet_Adresse</f>
        <v>rue de mon adresse</v>
      </c>
      <c r="R3" s="77"/>
    </row>
    <row r="4" spans="2:19" ht="15.75" customHeight="1" thickBot="1" x14ac:dyDescent="0.3">
      <c r="B4" s="1"/>
      <c r="C4" s="73"/>
      <c r="D4" s="38" t="s">
        <v>2</v>
      </c>
      <c r="E4" s="66" t="s">
        <v>93</v>
      </c>
      <c r="F4" s="67"/>
      <c r="G4" s="72"/>
      <c r="H4" s="72"/>
      <c r="I4" s="45" t="s">
        <v>90</v>
      </c>
      <c r="J4" s="46" t="s">
        <v>91</v>
      </c>
      <c r="K4" s="74"/>
      <c r="L4" s="38" t="s">
        <v>2</v>
      </c>
      <c r="M4" s="78" t="str">
        <f>Projet_Conducteur</f>
        <v/>
      </c>
      <c r="N4" s="79"/>
      <c r="O4" s="72"/>
      <c r="P4" s="72"/>
      <c r="Q4" s="80" t="str">
        <f xml:space="preserve"> Projet_CP</f>
        <v>12 345</v>
      </c>
      <c r="R4" s="80"/>
    </row>
    <row r="5" spans="2:19" ht="6" customHeight="1" x14ac:dyDescent="0.25"/>
    <row r="6" spans="2:19" ht="18" hidden="1" customHeight="1" x14ac:dyDescent="0.25">
      <c r="B6" s="39" t="s">
        <v>3</v>
      </c>
      <c r="C6" s="17"/>
      <c r="D6" s="17"/>
      <c r="E6" s="17"/>
      <c r="F6" s="17"/>
      <c r="G6" s="17"/>
      <c r="H6" s="17"/>
      <c r="I6" s="17"/>
      <c r="J6" s="17"/>
      <c r="K6" s="17"/>
    </row>
    <row r="7" spans="2:19" ht="24.75" customHeight="1" x14ac:dyDescent="0.25">
      <c r="B7" s="36"/>
      <c r="C7" s="17"/>
      <c r="D7" s="17"/>
      <c r="E7" s="17"/>
      <c r="F7" s="17"/>
      <c r="G7" s="17"/>
      <c r="J7" s="17"/>
      <c r="K7" s="17"/>
    </row>
    <row r="8" spans="2:19" ht="7.5" customHeight="1" x14ac:dyDescent="0.25"/>
    <row r="9" spans="2:19" ht="15" customHeight="1" x14ac:dyDescent="0.25">
      <c r="L9"/>
    </row>
    <row r="10" spans="2:19" ht="15" customHeight="1" x14ac:dyDescent="0.25"/>
    <row r="11" spans="2:19" ht="15" hidden="1" customHeight="1" x14ac:dyDescent="0.25">
      <c r="C11" s="30"/>
      <c r="D11" s="20" t="s">
        <v>27</v>
      </c>
      <c r="E11" s="19">
        <f>SUMIF(T_A_TRAITER[Classe],"CL3",T_A_TRAITER[Volume])</f>
        <v>5.0999999999999997E-2</v>
      </c>
      <c r="F11" s="20" t="s">
        <v>44</v>
      </c>
      <c r="G11" s="21">
        <f>SUMIFS(T_A_TRAITER[Volume],T_A_TRAITER[Finition],F11)</f>
        <v>0</v>
      </c>
    </row>
    <row r="12" spans="2:19" ht="15" hidden="1" customHeight="1" x14ac:dyDescent="0.25">
      <c r="C12" s="31"/>
      <c r="D12" s="18"/>
      <c r="E12" s="29"/>
      <c r="F12" s="29" t="s">
        <v>45</v>
      </c>
      <c r="G12" s="22">
        <f>SUMIFS(T_A_TRAITER[Volume],T_A_TRAITER[Finition],F12)</f>
        <v>0</v>
      </c>
    </row>
    <row r="13" spans="2:19" ht="15" hidden="1" customHeight="1" x14ac:dyDescent="0.25">
      <c r="C13" s="23"/>
      <c r="D13" s="32"/>
      <c r="E13" s="24"/>
      <c r="F13" s="24" t="s">
        <v>46</v>
      </c>
      <c r="G13" s="25">
        <f>SUMIFS(T_A_TRAITER[Volume],T_A_TRAITER[Finition],F13)</f>
        <v>0</v>
      </c>
    </row>
    <row r="14" spans="2:19" ht="15" hidden="1" customHeight="1" x14ac:dyDescent="0.25">
      <c r="C14" s="33"/>
      <c r="D14" s="34" t="s">
        <v>28</v>
      </c>
      <c r="E14" s="26">
        <f>SUMIF(T_A_TRAITER[Classe],"CL4",T_A_TRAITER[Volume])</f>
        <v>0</v>
      </c>
      <c r="F14" s="27"/>
      <c r="G14" s="28"/>
    </row>
    <row r="15" spans="2:19" ht="15" hidden="1" customHeight="1" x14ac:dyDescent="0.25">
      <c r="B15" s="49" t="s">
        <v>74</v>
      </c>
      <c r="C15" s="47">
        <f>_xlfn.XLOOKUP(C16,T_PROFILES[PROFILES],T_PROFILES[ID],"",0)</f>
        <v>5</v>
      </c>
      <c r="D15" s="47">
        <f>_xlfn.XLOOKUP(D16,T_PROFILES[PROFILES],T_PROFILES[ID],"",0)</f>
        <v>4</v>
      </c>
      <c r="E15" s="47">
        <f>_xlfn.XLOOKUP(E16,T_PROFILES[PROFILES],T_PROFILES[ID],"",0)</f>
        <v>3</v>
      </c>
      <c r="F15" s="47">
        <f>_xlfn.XLOOKUP(F16,T_PROFILES[PROFILES],T_PROFILES[ID],"",0)</f>
        <v>3</v>
      </c>
      <c r="G15" s="47">
        <f>_xlfn.XLOOKUP(G16,T_PROFILES[PROFILES],T_PROFILES[ID],"",0)</f>
        <v>3</v>
      </c>
      <c r="H15" s="47">
        <f>_xlfn.XLOOKUP(H16,T_PROFILES[PROFILES],T_PROFILES[ID],"",0)</f>
        <v>3</v>
      </c>
      <c r="I15" s="47">
        <f>_xlfn.XLOOKUP(I16,T_PROFILES[PROFILES],T_PROFILES[ID],"",0)</f>
        <v>3</v>
      </c>
      <c r="J15" s="47">
        <f>_xlfn.XLOOKUP(J16,T_PROFILES[PROFILES],T_PROFILES[ID],"",0)</f>
        <v>3</v>
      </c>
      <c r="K15" s="47">
        <f>_xlfn.XLOOKUP(K16,T_PROFILES[PROFILES],T_PROFILES[ID],"",0)</f>
        <v>5</v>
      </c>
      <c r="L15" s="48">
        <f>_xlfn.XLOOKUP(L16,T_PROFILES[PROFILES],T_PROFILES[ID],"",0)</f>
        <v>4</v>
      </c>
      <c r="M15" s="47">
        <f>_xlfn.XLOOKUP(M16,T_PROFILES[PROFILES],T_PROFILES[ID],"",0)</f>
        <v>3</v>
      </c>
      <c r="N15" s="47">
        <f>_xlfn.XLOOKUP(N16,T_PROFILES[PROFILES],T_PROFILES[ID],"",0)</f>
        <v>6</v>
      </c>
      <c r="O15" s="47">
        <f>_xlfn.XLOOKUP(O16,T_PROFILES[PROFILES],T_PROFILES[ID],"",0)</f>
        <v>6</v>
      </c>
      <c r="P15" s="47">
        <f>_xlfn.XLOOKUP(P16,T_PROFILES[PROFILES],T_PROFILES[ID],"",0)</f>
        <v>7</v>
      </c>
      <c r="Q15" s="47">
        <f>_xlfn.XLOOKUP(Q16,T_PROFILES[PROFILES],T_PROFILES[ID],"",0)</f>
        <v>7</v>
      </c>
      <c r="R15" s="47">
        <f>_xlfn.XLOOKUP(R16,T_PROFILES[PROFILES],T_PROFILES[ID],"",0)</f>
        <v>7</v>
      </c>
      <c r="S15" s="47">
        <f>_xlfn.XLOOKUP(S16,T_PROFILES[PROFILES],T_PROFILES[ID],"",0)</f>
        <v>8</v>
      </c>
    </row>
    <row r="16" spans="2:19" s="50" customFormat="1" ht="11.25" hidden="1" customHeight="1" x14ac:dyDescent="0.2">
      <c r="B16" s="51" t="s">
        <v>75</v>
      </c>
      <c r="C16" s="51" t="s">
        <v>57</v>
      </c>
      <c r="D16" s="51" t="s">
        <v>56</v>
      </c>
      <c r="E16" s="51" t="s">
        <v>55</v>
      </c>
      <c r="F16" s="51" t="s">
        <v>55</v>
      </c>
      <c r="G16" s="51" t="s">
        <v>55</v>
      </c>
      <c r="H16" s="51" t="s">
        <v>55</v>
      </c>
      <c r="I16" s="51" t="s">
        <v>55</v>
      </c>
      <c r="J16" s="51" t="s">
        <v>55</v>
      </c>
      <c r="K16" s="51" t="s">
        <v>57</v>
      </c>
      <c r="L16" s="51" t="s">
        <v>56</v>
      </c>
      <c r="M16" s="51" t="s">
        <v>55</v>
      </c>
      <c r="N16" s="51" t="s">
        <v>59</v>
      </c>
      <c r="O16" s="51" t="s">
        <v>59</v>
      </c>
      <c r="P16" s="51" t="s">
        <v>58</v>
      </c>
      <c r="Q16" s="51" t="s">
        <v>58</v>
      </c>
      <c r="R16" s="51" t="s">
        <v>58</v>
      </c>
      <c r="S16" s="51" t="s">
        <v>60</v>
      </c>
    </row>
    <row r="17" spans="1:19" ht="30" x14ac:dyDescent="0.25">
      <c r="B17" s="43" t="s">
        <v>0</v>
      </c>
      <c r="C17" s="42" t="s">
        <v>51</v>
      </c>
      <c r="D17" s="42" t="s">
        <v>69</v>
      </c>
      <c r="E17" s="42" t="s">
        <v>70</v>
      </c>
      <c r="F17" s="42" t="s">
        <v>79</v>
      </c>
      <c r="G17" s="42" t="s">
        <v>23</v>
      </c>
      <c r="H17" s="42" t="s">
        <v>80</v>
      </c>
      <c r="I17" s="42" t="s">
        <v>81</v>
      </c>
      <c r="J17" s="42" t="s">
        <v>82</v>
      </c>
      <c r="K17" s="43" t="s">
        <v>71</v>
      </c>
      <c r="L17" s="42" t="s">
        <v>72</v>
      </c>
      <c r="M17" s="42" t="s">
        <v>73</v>
      </c>
      <c r="N17" s="42" t="s">
        <v>83</v>
      </c>
      <c r="O17" s="42" t="s">
        <v>84</v>
      </c>
      <c r="P17" s="42" t="s">
        <v>85</v>
      </c>
      <c r="Q17" s="42" t="s">
        <v>87</v>
      </c>
      <c r="R17" s="42" t="s">
        <v>43</v>
      </c>
      <c r="S17" s="42" t="s">
        <v>86</v>
      </c>
    </row>
    <row r="18" spans="1:19" ht="24.95" customHeight="1" x14ac:dyDescent="0.25">
      <c r="B18" s="99" t="s">
        <v>95</v>
      </c>
      <c r="C18" s="44" t="str">
        <f>IF(COUNTIF(T_QUINCAILLERIE_Paquet_Atelier[Paquet],$B18)&gt;0,"VOIR LISTE","")</f>
        <v/>
      </c>
      <c r="D18" s="44" t="str">
        <f>IF(COUNTIF(T_ZINGUERIE_Paquet_Atelier[Paquet],$B18)&gt;0,"VOIR LISTE","")</f>
        <v/>
      </c>
      <c r="E18" s="44" t="str">
        <f>IF(COUNTIF(T_PREPA_Paquet_Atelier[Paquet],$B18)&gt;0,"VOIR LISTE","")</f>
        <v>VOIR LISTE</v>
      </c>
      <c r="F18" s="44" t="str">
        <f>"A FAIRE"</f>
        <v>A FAIRE</v>
      </c>
      <c r="G18" s="44" t="str">
        <f>"A FAIRE"</f>
        <v>A FAIRE</v>
      </c>
      <c r="H18" s="44" t="str">
        <f>"A FAIRE"</f>
        <v>A FAIRE</v>
      </c>
      <c r="I18" s="44" t="str">
        <f>"A FAIRE"</f>
        <v>A FAIRE</v>
      </c>
      <c r="J18" s="44" t="str">
        <f>"A FAIRE"</f>
        <v>A FAIRE</v>
      </c>
      <c r="K18" s="52" t="str">
        <f>IF(COUNTIF(T_QUINCAILLERIE_Paquet_Chantier[Paquet],$B18)&gt;0,"VOIR LISTE","")</f>
        <v/>
      </c>
      <c r="L18" s="52" t="str">
        <f>IF(COUNTIF(T_ZINGUERIE_Paquet_Chantier[Paquet],$B18)&gt;0,"VOIR LISTE","")</f>
        <v/>
      </c>
      <c r="M18" s="44" t="str">
        <f>IF(COUNTIF(T_PREPA_Paquet_Chantier[Paquet],$B18)&gt;0,"VOIR LISTE","")</f>
        <v/>
      </c>
      <c r="N18" s="44" t="str">
        <f>"A FAIRE"</f>
        <v>A FAIRE</v>
      </c>
      <c r="O18" s="44" t="str">
        <f>"A FAIRE"</f>
        <v>A FAIRE</v>
      </c>
      <c r="P18" s="44" t="str">
        <f>"A FAIRE"</f>
        <v>A FAIRE</v>
      </c>
      <c r="Q18" s="44" t="str">
        <f>"A FAIRE"</f>
        <v>A FAIRE</v>
      </c>
      <c r="R18" s="44" t="str">
        <f>"A FAIRE"</f>
        <v>A FAIRE</v>
      </c>
      <c r="S18" s="44" t="str">
        <f>"A FAIRE"</f>
        <v>A FAIRE</v>
      </c>
    </row>
    <row r="19" spans="1:19" ht="24.95" customHeight="1" x14ac:dyDescent="0.25">
      <c r="A19" s="44"/>
      <c r="B19" s="99" t="s">
        <v>96</v>
      </c>
      <c r="C19" s="44" t="str">
        <f>IF(COUNTIF(T_QUINCAILLERIE_Paquet_Atelier[Paquet],$B19)&gt;0,"VOIR LISTE","")</f>
        <v/>
      </c>
      <c r="D19" s="44" t="str">
        <f>IF(COUNTIF(T_ZINGUERIE_Paquet_Atelier[Paquet],$B19)&gt;0,"VOIR LISTE","")</f>
        <v/>
      </c>
      <c r="E19" s="44" t="str">
        <f>IF(COUNTIF(T_PREPA_Paquet_Atelier[Paquet],$B19)&gt;0,"VOIR LISTE","")</f>
        <v/>
      </c>
      <c r="F19" s="44" t="str">
        <f>"A FAIRE"</f>
        <v>A FAIRE</v>
      </c>
      <c r="G19" s="44" t="str">
        <f>"A FAIRE"</f>
        <v>A FAIRE</v>
      </c>
      <c r="H19" s="44" t="str">
        <f>"A FAIRE"</f>
        <v>A FAIRE</v>
      </c>
      <c r="I19" s="44" t="str">
        <f>"A FAIRE"</f>
        <v>A FAIRE</v>
      </c>
      <c r="J19" s="44" t="str">
        <f>"A FAIRE"</f>
        <v>A FAIRE</v>
      </c>
      <c r="K19" s="52" t="str">
        <f>IF(COUNTIF(T_QUINCAILLERIE_Paquet_Chantier[Paquet],$B19)&gt;0,"VOIR LISTE","")</f>
        <v/>
      </c>
      <c r="L19" s="52" t="str">
        <f>IF(COUNTIF(T_ZINGUERIE_Paquet_Chantier[Paquet],$B19)&gt;0,"VOIR LISTE","")</f>
        <v/>
      </c>
      <c r="M19" s="44" t="str">
        <f>IF(COUNTIF(T_PREPA_Paquet_Chantier[Paquet],$B19)&gt;0,"VOIR LISTE","")</f>
        <v/>
      </c>
      <c r="N19" s="44" t="str">
        <f>"A FAIRE"</f>
        <v>A FAIRE</v>
      </c>
      <c r="O19" s="44" t="str">
        <f>"A FAIRE"</f>
        <v>A FAIRE</v>
      </c>
      <c r="P19" s="44" t="str">
        <f>"A FAIRE"</f>
        <v>A FAIRE</v>
      </c>
      <c r="Q19" s="44" t="str">
        <f>"A FAIRE"</f>
        <v>A FAIRE</v>
      </c>
      <c r="R19" s="44" t="str">
        <f>"A FAIRE"</f>
        <v>A FAIRE</v>
      </c>
      <c r="S19" s="44" t="str">
        <f>"A FAIRE"</f>
        <v>A FAIRE</v>
      </c>
    </row>
    <row r="20" spans="1:19" ht="24.95" customHeight="1" x14ac:dyDescent="0.25">
      <c r="B20" s="100" t="s">
        <v>100</v>
      </c>
      <c r="C20" s="44" t="str">
        <f>IF(COUNTIF(T_QUINCAILLERIE_Paquet_Atelier[Paquet],$B20)&gt;0,"VOIR LISTE","")</f>
        <v/>
      </c>
      <c r="D20" s="44" t="str">
        <f>IF(COUNTIF(T_ZINGUERIE_Paquet_Atelier[Paquet],$B20)&gt;0,"VOIR LISTE","")</f>
        <v/>
      </c>
      <c r="E20" s="44" t="str">
        <f>IF(COUNTIF(T_PREPA_Paquet_Atelier[Paquet],$B20)&gt;0,"VOIR LISTE","")</f>
        <v/>
      </c>
      <c r="F20" s="44" t="str">
        <f>"A FAIRE"</f>
        <v>A FAIRE</v>
      </c>
      <c r="G20" s="44" t="str">
        <f>"A FAIRE"</f>
        <v>A FAIRE</v>
      </c>
      <c r="H20" s="44" t="str">
        <f>"A FAIRE"</f>
        <v>A FAIRE</v>
      </c>
      <c r="I20" s="44" t="str">
        <f>"A FAIRE"</f>
        <v>A FAIRE</v>
      </c>
      <c r="J20" s="44" t="str">
        <f>"A FAIRE"</f>
        <v>A FAIRE</v>
      </c>
      <c r="K20" s="52" t="str">
        <f>IF(COUNTIF(T_QUINCAILLERIE_Paquet_Chantier[Paquet],$B20)&gt;0,"VOIR LISTE","")</f>
        <v>VOIR LISTE</v>
      </c>
      <c r="L20" s="52" t="str">
        <f>IF(COUNTIF(T_ZINGUERIE_Paquet_Chantier[Paquet],$B20)&gt;0,"VOIR LISTE","")</f>
        <v/>
      </c>
      <c r="M20" s="44" t="str">
        <f>IF(COUNTIF(T_PREPA_Paquet_Chantier[Paquet],$B20)&gt;0,"VOIR LISTE","")</f>
        <v/>
      </c>
      <c r="N20" s="44" t="str">
        <f>"A FAIRE"</f>
        <v>A FAIRE</v>
      </c>
      <c r="O20" s="44" t="str">
        <f>"A FAIRE"</f>
        <v>A FAIRE</v>
      </c>
      <c r="P20" s="44" t="str">
        <f>"A FAIRE"</f>
        <v>A FAIRE</v>
      </c>
      <c r="Q20" s="44" t="str">
        <f>"A FAIRE"</f>
        <v>A FAIRE</v>
      </c>
      <c r="R20" s="44" t="str">
        <f>"A FAIRE"</f>
        <v>A FAIRE</v>
      </c>
      <c r="S20" s="44" t="str">
        <f>"A FAIRE"</f>
        <v>A FAIRE</v>
      </c>
    </row>
    <row r="21" spans="1:19" ht="24.95" customHeight="1" x14ac:dyDescent="0.25">
      <c r="B21" s="101" t="s">
        <v>99</v>
      </c>
      <c r="C21" s="44" t="str">
        <f>IF(COUNTIF(T_QUINCAILLERIE_Paquet_Atelier[Paquet],$B21)&gt;0,"VOIR LISTE","")</f>
        <v>VOIR LISTE</v>
      </c>
      <c r="D21" s="44" t="str">
        <f>IF(COUNTIF(T_ZINGUERIE_Paquet_Atelier[Paquet],$B21)&gt;0,"VOIR LISTE","")</f>
        <v/>
      </c>
      <c r="E21" s="44" t="str">
        <f>IF(COUNTIF(T_PREPA_Paquet_Atelier[Paquet],$B21)&gt;0,"VOIR LISTE","")</f>
        <v/>
      </c>
      <c r="F21" s="44" t="str">
        <f>"A FAIRE"</f>
        <v>A FAIRE</v>
      </c>
      <c r="G21" s="44" t="str">
        <f>"A FAIRE"</f>
        <v>A FAIRE</v>
      </c>
      <c r="H21" s="44"/>
      <c r="I21" s="44" t="s">
        <v>119</v>
      </c>
      <c r="J21" s="44" t="str">
        <f>"A FAIRE"</f>
        <v>A FAIRE</v>
      </c>
      <c r="K21" s="52" t="str">
        <f>IF(COUNTIF(T_QUINCAILLERIE_Paquet_Chantier[Paquet],$B21)&gt;0,"VOIR LISTE","")</f>
        <v>VOIR LISTE</v>
      </c>
      <c r="L21" s="52" t="str">
        <f>IF(COUNTIF(T_ZINGUERIE_Paquet_Chantier[Paquet],$B21)&gt;0,"VOIR LISTE","")</f>
        <v/>
      </c>
      <c r="M21" s="44" t="str">
        <f>IF(COUNTIF(T_PREPA_Paquet_Chantier[Paquet],$B21)&gt;0,"VOIR LISTE","")</f>
        <v/>
      </c>
      <c r="N21" s="44" t="str">
        <f>"A FAIRE"</f>
        <v>A FAIRE</v>
      </c>
      <c r="O21" s="44" t="str">
        <f>"A FAIRE"</f>
        <v>A FAIRE</v>
      </c>
      <c r="P21" s="44" t="str">
        <f>"A FAIRE"</f>
        <v>A FAIRE</v>
      </c>
      <c r="Q21" s="44" t="str">
        <f>"A FAIRE"</f>
        <v>A FAIRE</v>
      </c>
      <c r="R21" s="44" t="str">
        <f>"A FAIRE"</f>
        <v>A FAIRE</v>
      </c>
      <c r="S21" s="44" t="str">
        <f>"A FAIRE"</f>
        <v>A FAIRE</v>
      </c>
    </row>
    <row r="22" spans="1:19" ht="24.95" customHeight="1" x14ac:dyDescent="0.25">
      <c r="B22" s="102" t="s">
        <v>97</v>
      </c>
      <c r="C22" s="44" t="str">
        <f>IF(COUNTIF(T_QUINCAILLERIE_Paquet_Atelier[Paquet],$B22)&gt;0,"VOIR LISTE","")</f>
        <v/>
      </c>
      <c r="D22" s="44" t="str">
        <f>IF(COUNTIF(T_ZINGUERIE_Paquet_Atelier[Paquet],$B22)&gt;0,"VOIR LISTE","")</f>
        <v/>
      </c>
      <c r="E22" s="44" t="str">
        <f>IF(COUNTIF(T_PREPA_Paquet_Atelier[Paquet],$B22)&gt;0,"VOIR LISTE","")</f>
        <v>VOIR LISTE</v>
      </c>
      <c r="F22" s="44" t="str">
        <f>"A FAIRE"</f>
        <v>A FAIRE</v>
      </c>
      <c r="G22" s="44" t="str">
        <f>"A FAIRE"</f>
        <v>A FAIRE</v>
      </c>
      <c r="H22" s="44" t="str">
        <f>"A FAIRE"</f>
        <v>A FAIRE</v>
      </c>
      <c r="I22" s="44" t="str">
        <f>"A FAIRE"</f>
        <v>A FAIRE</v>
      </c>
      <c r="J22" s="44" t="str">
        <f>"A FAIRE"</f>
        <v>A FAIRE</v>
      </c>
      <c r="K22" s="52" t="str">
        <f>IF(COUNTIF(T_QUINCAILLERIE_Paquet_Chantier[Paquet],$B22)&gt;0,"VOIR LISTE","")</f>
        <v/>
      </c>
      <c r="L22" s="52" t="str">
        <f>IF(COUNTIF(T_ZINGUERIE_Paquet_Chantier[Paquet],$B22)&gt;0,"VOIR LISTE","")</f>
        <v/>
      </c>
      <c r="M22" s="44" t="str">
        <f>IF(COUNTIF(T_PREPA_Paquet_Chantier[Paquet],$B22)&gt;0,"VOIR LISTE","")</f>
        <v/>
      </c>
      <c r="N22" s="44" t="str">
        <f>"A FAIRE"</f>
        <v>A FAIRE</v>
      </c>
      <c r="O22" s="44" t="str">
        <f>"A FAIRE"</f>
        <v>A FAIRE</v>
      </c>
      <c r="P22" s="44" t="str">
        <f>"A FAIRE"</f>
        <v>A FAIRE</v>
      </c>
      <c r="Q22" s="44" t="str">
        <f>"A FAIRE"</f>
        <v>A FAIRE</v>
      </c>
      <c r="R22" s="44" t="str">
        <f>"A FAIRE"</f>
        <v>A FAIRE</v>
      </c>
      <c r="S22" s="44" t="str">
        <f>"A FAIRE"</f>
        <v>A FAIRE</v>
      </c>
    </row>
    <row r="23" spans="1:19" ht="24.95" customHeight="1" x14ac:dyDescent="0.25">
      <c r="B23" s="102" t="s">
        <v>98</v>
      </c>
      <c r="C23" s="44" t="str">
        <f>IF(COUNTIF(T_QUINCAILLERIE_Paquet_Atelier[Paquet],$B23)&gt;0,"VOIR LISTE","")</f>
        <v/>
      </c>
      <c r="D23" s="44" t="str">
        <f>IF(COUNTIF(T_ZINGUERIE_Paquet_Atelier[Paquet],$B23)&gt;0,"VOIR LISTE","")</f>
        <v/>
      </c>
      <c r="E23" s="44" t="str">
        <f>IF(COUNTIF(T_PREPA_Paquet_Atelier[Paquet],$B23)&gt;0,"VOIR LISTE","")</f>
        <v>VOIR LISTE</v>
      </c>
      <c r="F23" s="44" t="str">
        <f>"A FAIRE"</f>
        <v>A FAIRE</v>
      </c>
      <c r="G23" s="44" t="str">
        <f>"A FAIRE"</f>
        <v>A FAIRE</v>
      </c>
      <c r="H23" s="44" t="str">
        <f>"A FAIRE"</f>
        <v>A FAIRE</v>
      </c>
      <c r="I23" s="44" t="str">
        <f>"A FAIRE"</f>
        <v>A FAIRE</v>
      </c>
      <c r="J23" s="44" t="str">
        <f>"A FAIRE"</f>
        <v>A FAIRE</v>
      </c>
      <c r="K23" s="52" t="str">
        <f>IF(COUNTIF(T_QUINCAILLERIE_Paquet_Chantier[Paquet],$B23)&gt;0,"VOIR LISTE","")</f>
        <v/>
      </c>
      <c r="L23" s="52" t="str">
        <f>IF(COUNTIF(T_ZINGUERIE_Paquet_Chantier[Paquet],$B23)&gt;0,"VOIR LISTE","")</f>
        <v/>
      </c>
      <c r="M23" s="44" t="str">
        <f>IF(COUNTIF(T_PREPA_Paquet_Chantier[Paquet],$B23)&gt;0,"VOIR LISTE","")</f>
        <v/>
      </c>
      <c r="N23" s="44" t="str">
        <f>"A FAIRE"</f>
        <v>A FAIRE</v>
      </c>
      <c r="O23" s="44" t="str">
        <f>"A FAIRE"</f>
        <v>A FAIRE</v>
      </c>
      <c r="P23" s="44" t="str">
        <f>"A FAIRE"</f>
        <v>A FAIRE</v>
      </c>
      <c r="Q23" s="44" t="str">
        <f>"A FAIRE"</f>
        <v>A FAIRE</v>
      </c>
      <c r="R23" s="44" t="str">
        <f>"A FAIRE"</f>
        <v>A FAIRE</v>
      </c>
      <c r="S23" s="44" t="str">
        <f>"A FAIRE"</f>
        <v>A FAIRE</v>
      </c>
    </row>
    <row r="24" spans="1:19" ht="24.95" customHeight="1" x14ac:dyDescent="0.25">
      <c r="B24" s="103" t="s">
        <v>94</v>
      </c>
      <c r="C24" s="44" t="str">
        <f>IF(COUNTIF(T_QUINCAILLERIE_Paquet_Atelier[Paquet],$B24)&gt;0,"VOIR LISTE","")</f>
        <v/>
      </c>
      <c r="D24" s="44" t="str">
        <f>IF(COUNTIF(T_ZINGUERIE_Paquet_Atelier[Paquet],$B24)&gt;0,"VOIR LISTE","")</f>
        <v/>
      </c>
      <c r="E24" s="44" t="str">
        <f>IF(COUNTIF(T_PREPA_Paquet_Atelier[Paquet],$B24)&gt;0,"VOIR LISTE","")</f>
        <v/>
      </c>
      <c r="F24" s="44" t="str">
        <f>"A FAIRE"</f>
        <v>A FAIRE</v>
      </c>
      <c r="G24" s="44" t="str">
        <f>"A FAIRE"</f>
        <v>A FAIRE</v>
      </c>
      <c r="H24" s="44" t="str">
        <f>"A FAIRE"</f>
        <v>A FAIRE</v>
      </c>
      <c r="I24" s="44" t="str">
        <f>"A FAIRE"</f>
        <v>A FAIRE</v>
      </c>
      <c r="J24" s="44" t="str">
        <f>"A FAIRE"</f>
        <v>A FAIRE</v>
      </c>
      <c r="K24" s="52" t="str">
        <f>IF(COUNTIF(T_QUINCAILLERIE_Paquet_Chantier[Paquet],$B24)&gt;0,"VOIR LISTE","")</f>
        <v/>
      </c>
      <c r="L24" s="52" t="str">
        <f>IF(COUNTIF(T_ZINGUERIE_Paquet_Chantier[Paquet],$B24)&gt;0,"VOIR LISTE","")</f>
        <v>VOIR LISTE</v>
      </c>
      <c r="M24" s="44" t="str">
        <f>IF(COUNTIF(T_PREPA_Paquet_Chantier[Paquet],$B24)&gt;0,"VOIR LISTE","")</f>
        <v/>
      </c>
      <c r="N24" s="44" t="str">
        <f>"A FAIRE"</f>
        <v>A FAIRE</v>
      </c>
      <c r="O24" s="44" t="str">
        <f>"A FAIRE"</f>
        <v>A FAIRE</v>
      </c>
      <c r="P24" s="44" t="str">
        <f>"A FAIRE"</f>
        <v>A FAIRE</v>
      </c>
      <c r="Q24" s="44" t="str">
        <f>"A FAIRE"</f>
        <v>A FAIRE</v>
      </c>
      <c r="R24" s="44" t="str">
        <f>"A FAIRE"</f>
        <v>A FAIRE</v>
      </c>
      <c r="S24" s="44" t="str">
        <f>"A FAIRE"</f>
        <v>A FAIRE</v>
      </c>
    </row>
    <row r="25" spans="1:19" ht="24.95" customHeight="1" x14ac:dyDescent="0.25"/>
    <row r="26" spans="1:19" ht="24.95" customHeight="1" x14ac:dyDescent="0.25"/>
    <row r="27" spans="1:19" ht="24.95" customHeight="1" x14ac:dyDescent="0.25"/>
    <row r="28" spans="1:19" ht="24.95" customHeight="1" x14ac:dyDescent="0.25"/>
    <row r="29" spans="1:19" ht="24.95" customHeight="1" x14ac:dyDescent="0.25"/>
    <row r="30" spans="1:19" ht="24.95" customHeight="1" x14ac:dyDescent="0.25"/>
    <row r="31" spans="1:19" ht="24.95" customHeight="1" x14ac:dyDescent="0.25"/>
    <row r="32" spans="1:19" ht="24.95" customHeight="1" x14ac:dyDescent="0.25"/>
    <row r="33" ht="24.95" customHeight="1" x14ac:dyDescent="0.25"/>
    <row r="34" ht="24.95" customHeight="1" x14ac:dyDescent="0.25"/>
    <row r="35" ht="24.95" customHeight="1" x14ac:dyDescent="0.25"/>
    <row r="36" ht="24.95" customHeight="1" x14ac:dyDescent="0.25"/>
    <row r="37" ht="24.95" customHeight="1" x14ac:dyDescent="0.25"/>
    <row r="38" ht="24.95" customHeight="1" x14ac:dyDescent="0.25"/>
    <row r="39" ht="24.95" customHeight="1" x14ac:dyDescent="0.25"/>
    <row r="40" ht="24.95" customHeight="1" x14ac:dyDescent="0.25"/>
    <row r="41" ht="24.95" customHeight="1" x14ac:dyDescent="0.25"/>
    <row r="42" ht="24.95" customHeight="1" x14ac:dyDescent="0.25"/>
    <row r="43" ht="24.95" customHeight="1" x14ac:dyDescent="0.25"/>
    <row r="44" ht="24.95" customHeight="1" x14ac:dyDescent="0.25"/>
    <row r="45" ht="24.95" customHeight="1" x14ac:dyDescent="0.25"/>
    <row r="46" ht="24.95" customHeight="1" x14ac:dyDescent="0.25"/>
    <row r="47" ht="24.95" customHeight="1" x14ac:dyDescent="0.25"/>
    <row r="48" ht="24.95" customHeight="1" x14ac:dyDescent="0.25"/>
    <row r="49" ht="24.95" customHeight="1" x14ac:dyDescent="0.25"/>
    <row r="50" ht="24.95" customHeight="1" x14ac:dyDescent="0.25"/>
    <row r="51" ht="24.95" customHeight="1" x14ac:dyDescent="0.25"/>
    <row r="52" ht="24.95" customHeight="1" x14ac:dyDescent="0.25"/>
    <row r="53" ht="24.95" customHeight="1" x14ac:dyDescent="0.25"/>
    <row r="54" ht="24.95" customHeight="1" x14ac:dyDescent="0.25"/>
    <row r="55" ht="24.95" customHeight="1" x14ac:dyDescent="0.25"/>
    <row r="56" ht="24.95" customHeight="1" x14ac:dyDescent="0.25"/>
    <row r="57" ht="24.95" customHeight="1" x14ac:dyDescent="0.25"/>
    <row r="58" ht="24.95" customHeight="1" x14ac:dyDescent="0.25"/>
    <row r="59" ht="24.95" customHeight="1" x14ac:dyDescent="0.25"/>
    <row r="60" ht="24.95" customHeight="1" x14ac:dyDescent="0.25"/>
    <row r="61" ht="24.95" customHeight="1" x14ac:dyDescent="0.25"/>
    <row r="62" ht="24.95" customHeight="1" x14ac:dyDescent="0.25"/>
    <row r="63" ht="24.95" customHeight="1" x14ac:dyDescent="0.25"/>
    <row r="64" ht="24.95" customHeight="1" x14ac:dyDescent="0.25"/>
    <row r="65" ht="24.95" customHeight="1" x14ac:dyDescent="0.25"/>
    <row r="66" ht="24.95" customHeight="1" x14ac:dyDescent="0.25"/>
    <row r="67" ht="24.95" customHeight="1" x14ac:dyDescent="0.25"/>
    <row r="68" ht="24.95" customHeight="1" x14ac:dyDescent="0.25"/>
    <row r="69" ht="24.95" customHeight="1" x14ac:dyDescent="0.25"/>
    <row r="70" ht="24.95" customHeight="1" x14ac:dyDescent="0.25"/>
    <row r="71" ht="24.95" customHeight="1" x14ac:dyDescent="0.25"/>
    <row r="72" ht="24.95" customHeight="1" x14ac:dyDescent="0.25"/>
    <row r="73" ht="24.95" customHeight="1" x14ac:dyDescent="0.25"/>
    <row r="74" ht="24.95" customHeight="1" x14ac:dyDescent="0.25"/>
    <row r="75" ht="24.95" customHeight="1" x14ac:dyDescent="0.25"/>
    <row r="76" ht="24.95" customHeight="1" x14ac:dyDescent="0.25"/>
    <row r="77" ht="24.95" customHeight="1" x14ac:dyDescent="0.25"/>
    <row r="78" ht="24.95" customHeight="1" x14ac:dyDescent="0.25"/>
    <row r="79" ht="24.95" customHeight="1" x14ac:dyDescent="0.25"/>
    <row r="80" ht="24.95" customHeight="1" x14ac:dyDescent="0.25"/>
    <row r="81" ht="24.95" customHeight="1" x14ac:dyDescent="0.25"/>
    <row r="82" ht="24.95" customHeight="1" x14ac:dyDescent="0.25"/>
    <row r="83" ht="24.95" customHeight="1" x14ac:dyDescent="0.25"/>
    <row r="84" ht="24.95" customHeight="1" x14ac:dyDescent="0.25"/>
    <row r="85" ht="24.95" customHeight="1" x14ac:dyDescent="0.25"/>
    <row r="86" ht="24.95" customHeight="1" x14ac:dyDescent="0.25"/>
    <row r="87" ht="24.95" customHeight="1" x14ac:dyDescent="0.25"/>
    <row r="88" ht="24.95" customHeight="1" x14ac:dyDescent="0.25"/>
    <row r="89" ht="24.95" customHeight="1" x14ac:dyDescent="0.25"/>
    <row r="90" ht="24.95" customHeight="1" x14ac:dyDescent="0.25"/>
    <row r="91" ht="24.95" customHeight="1" x14ac:dyDescent="0.25"/>
    <row r="92" ht="24.95" customHeight="1" x14ac:dyDescent="0.25"/>
    <row r="93" ht="24.95" customHeight="1" x14ac:dyDescent="0.25"/>
    <row r="94" ht="24.95" customHeight="1" x14ac:dyDescent="0.25"/>
    <row r="95" ht="24.95" customHeight="1" x14ac:dyDescent="0.25"/>
    <row r="96" ht="24.95" customHeight="1" x14ac:dyDescent="0.25"/>
    <row r="97" ht="24.95" customHeight="1" x14ac:dyDescent="0.25"/>
    <row r="98" ht="24.95" customHeight="1" x14ac:dyDescent="0.25"/>
    <row r="99" ht="24.95" customHeight="1" x14ac:dyDescent="0.25"/>
    <row r="100" ht="24.95" customHeight="1" x14ac:dyDescent="0.25"/>
    <row r="101" ht="24.95" customHeight="1" x14ac:dyDescent="0.25"/>
    <row r="102" ht="24.95" customHeight="1" x14ac:dyDescent="0.25"/>
    <row r="103" ht="24.95" customHeight="1" x14ac:dyDescent="0.25"/>
    <row r="104" ht="24.95" customHeight="1" x14ac:dyDescent="0.25"/>
    <row r="105" ht="24.95" customHeight="1" x14ac:dyDescent="0.25"/>
    <row r="106" ht="24.95" customHeight="1" x14ac:dyDescent="0.25"/>
    <row r="107" ht="24.95" customHeight="1" x14ac:dyDescent="0.25"/>
    <row r="108" ht="24.95" customHeight="1" x14ac:dyDescent="0.25"/>
    <row r="109" ht="24.95" customHeight="1" x14ac:dyDescent="0.25"/>
    <row r="110" ht="24.95" customHeight="1" x14ac:dyDescent="0.25"/>
    <row r="111" ht="24.95" customHeight="1" x14ac:dyDescent="0.25"/>
    <row r="112" ht="24.95" customHeight="1" x14ac:dyDescent="0.25"/>
    <row r="113" ht="24.95" customHeight="1" x14ac:dyDescent="0.25"/>
    <row r="114" ht="24.95" customHeight="1" x14ac:dyDescent="0.25"/>
    <row r="115" ht="24.95" customHeight="1" x14ac:dyDescent="0.25"/>
    <row r="116" ht="24.95" customHeight="1" x14ac:dyDescent="0.25"/>
    <row r="117" ht="24.95" customHeight="1" x14ac:dyDescent="0.25"/>
    <row r="118" ht="24.95" customHeight="1" x14ac:dyDescent="0.25"/>
    <row r="119" ht="24.95" customHeight="1" x14ac:dyDescent="0.25"/>
    <row r="120" ht="24.95" customHeight="1" x14ac:dyDescent="0.25"/>
    <row r="121" ht="24.95" customHeight="1" x14ac:dyDescent="0.25"/>
    <row r="122" ht="24.95" customHeight="1" x14ac:dyDescent="0.25"/>
    <row r="123" ht="24.95" customHeight="1" x14ac:dyDescent="0.25"/>
    <row r="124" ht="24.95" customHeight="1" x14ac:dyDescent="0.25"/>
    <row r="125" ht="24.95" customHeight="1" x14ac:dyDescent="0.25"/>
    <row r="126" ht="24.95" customHeight="1" x14ac:dyDescent="0.25"/>
    <row r="127" ht="24.95" customHeight="1" x14ac:dyDescent="0.25"/>
    <row r="128" ht="24.95" customHeight="1" x14ac:dyDescent="0.25"/>
    <row r="129" ht="24.95" customHeight="1" x14ac:dyDescent="0.25"/>
    <row r="130" ht="24.95" customHeight="1" x14ac:dyDescent="0.25"/>
    <row r="131" ht="24.95" customHeight="1" x14ac:dyDescent="0.25"/>
    <row r="132" ht="24.95" customHeight="1" x14ac:dyDescent="0.25"/>
    <row r="133" ht="24.95" customHeight="1" x14ac:dyDescent="0.25"/>
    <row r="134" ht="24.95" customHeight="1" x14ac:dyDescent="0.25"/>
    <row r="135" ht="24.95" customHeight="1" x14ac:dyDescent="0.25"/>
    <row r="136" ht="24.95" customHeight="1" x14ac:dyDescent="0.25"/>
    <row r="137" ht="24.95" customHeight="1" x14ac:dyDescent="0.25"/>
    <row r="138" ht="24.95" customHeight="1" x14ac:dyDescent="0.25"/>
    <row r="139" ht="24.95" customHeight="1" x14ac:dyDescent="0.25"/>
    <row r="140" ht="24.95" customHeight="1" x14ac:dyDescent="0.25"/>
    <row r="141" ht="24.95" customHeight="1" x14ac:dyDescent="0.25"/>
    <row r="142" ht="24.95" customHeight="1" x14ac:dyDescent="0.25"/>
    <row r="143" ht="24.95" customHeight="1" x14ac:dyDescent="0.25"/>
    <row r="144" ht="24.95" customHeight="1" x14ac:dyDescent="0.25"/>
    <row r="145" ht="24.95" customHeight="1" x14ac:dyDescent="0.25"/>
    <row r="146" ht="24.95" customHeight="1" x14ac:dyDescent="0.25"/>
    <row r="147" ht="24.95" customHeight="1" x14ac:dyDescent="0.25"/>
    <row r="148" ht="24.95" customHeight="1" x14ac:dyDescent="0.25"/>
    <row r="149" ht="24.95" customHeight="1" x14ac:dyDescent="0.25"/>
    <row r="150" ht="24.95" customHeight="1" x14ac:dyDescent="0.25"/>
    <row r="151" ht="24.95" customHeight="1" x14ac:dyDescent="0.25"/>
    <row r="152" ht="24.95" customHeight="1" x14ac:dyDescent="0.25"/>
    <row r="153" ht="24.95" customHeight="1" x14ac:dyDescent="0.25"/>
    <row r="154" ht="24.95" customHeight="1" x14ac:dyDescent="0.25"/>
    <row r="155" ht="24.95" customHeight="1" x14ac:dyDescent="0.25"/>
    <row r="156" ht="24.95" customHeight="1" x14ac:dyDescent="0.25"/>
    <row r="157" ht="24.95" customHeight="1" x14ac:dyDescent="0.25"/>
    <row r="158" ht="24.95" customHeight="1" x14ac:dyDescent="0.25"/>
    <row r="159" ht="24.95" customHeight="1" x14ac:dyDescent="0.25"/>
    <row r="160" ht="24.95" customHeight="1" x14ac:dyDescent="0.25"/>
    <row r="161" ht="24.95" customHeight="1" x14ac:dyDescent="0.25"/>
    <row r="162" ht="24.95" customHeight="1" x14ac:dyDescent="0.25"/>
    <row r="163" ht="24.95" customHeight="1" x14ac:dyDescent="0.25"/>
    <row r="164" ht="24.95" customHeight="1" x14ac:dyDescent="0.25"/>
    <row r="165" ht="24.95" customHeight="1" x14ac:dyDescent="0.25"/>
    <row r="166" ht="24.95" customHeight="1" x14ac:dyDescent="0.25"/>
    <row r="167" ht="24.95" customHeight="1" x14ac:dyDescent="0.25"/>
    <row r="168" ht="24.95" customHeight="1" x14ac:dyDescent="0.25"/>
    <row r="169" ht="24.95" customHeight="1" x14ac:dyDescent="0.25"/>
    <row r="170" ht="24.95" customHeight="1" x14ac:dyDescent="0.25"/>
    <row r="171" ht="24.95" customHeight="1" x14ac:dyDescent="0.25"/>
    <row r="172" ht="24.95" customHeight="1" x14ac:dyDescent="0.25"/>
    <row r="173" ht="24.95" customHeight="1" x14ac:dyDescent="0.25"/>
    <row r="174" ht="24.95" customHeight="1" x14ac:dyDescent="0.25"/>
    <row r="175" ht="24.95" customHeight="1" x14ac:dyDescent="0.25"/>
    <row r="176" ht="24.95" customHeight="1" x14ac:dyDescent="0.25"/>
    <row r="177" ht="24.95" customHeight="1" x14ac:dyDescent="0.25"/>
    <row r="178" ht="24.95" customHeight="1" x14ac:dyDescent="0.25"/>
    <row r="179" ht="24.95" customHeight="1" x14ac:dyDescent="0.25"/>
    <row r="180" ht="24.95" customHeight="1" x14ac:dyDescent="0.25"/>
    <row r="181" ht="24.95" customHeight="1" x14ac:dyDescent="0.25"/>
    <row r="182" ht="24.95" customHeight="1" x14ac:dyDescent="0.25"/>
    <row r="183" ht="24.95" customHeight="1" x14ac:dyDescent="0.25"/>
    <row r="184" ht="24.95" customHeight="1" x14ac:dyDescent="0.25"/>
    <row r="185" ht="24.95" customHeight="1" x14ac:dyDescent="0.25"/>
    <row r="186" ht="24.95" customHeight="1" x14ac:dyDescent="0.25"/>
    <row r="187" ht="24.95" customHeight="1" x14ac:dyDescent="0.25"/>
    <row r="188" ht="24.95" customHeight="1" x14ac:dyDescent="0.25"/>
    <row r="189" ht="24.95" customHeight="1" x14ac:dyDescent="0.25"/>
    <row r="190" ht="24.95" customHeight="1" x14ac:dyDescent="0.25"/>
    <row r="191" ht="24.95" customHeight="1" x14ac:dyDescent="0.25"/>
    <row r="192" ht="24.95" customHeight="1" x14ac:dyDescent="0.25"/>
    <row r="193" ht="24.95" customHeight="1" x14ac:dyDescent="0.25"/>
    <row r="194" ht="24.95" customHeight="1" x14ac:dyDescent="0.25"/>
    <row r="195" ht="24.95" customHeight="1" x14ac:dyDescent="0.25"/>
  </sheetData>
  <sheetProtection formatCells="0" formatColumns="0" formatRows="0" insertRows="0" deleteRows="0" sort="0"/>
  <mergeCells count="12">
    <mergeCell ref="K3:K4"/>
    <mergeCell ref="M3:N3"/>
    <mergeCell ref="Q3:R3"/>
    <mergeCell ref="M4:N4"/>
    <mergeCell ref="Q4:R4"/>
    <mergeCell ref="O3:P4"/>
    <mergeCell ref="B3:B4"/>
    <mergeCell ref="E3:F3"/>
    <mergeCell ref="E4:F4"/>
    <mergeCell ref="I3:J3"/>
    <mergeCell ref="G3:H4"/>
    <mergeCell ref="C3:C4"/>
  </mergeCells>
  <phoneticPr fontId="2" type="noConversion"/>
  <conditionalFormatting sqref="C18:S24">
    <cfRule type="cellIs" dxfId="129" priority="1" operator="equal">
      <formula>"A FAIRE"</formula>
    </cfRule>
    <cfRule type="containsBlanks" dxfId="128" priority="3">
      <formula>LEN(TRIM(C18))=0</formula>
    </cfRule>
  </conditionalFormatting>
  <dataValidations count="2">
    <dataValidation type="list" errorStyle="warning" allowBlank="1" showInputMessage="1" showErrorMessage="1" sqref="E3:F3" xr:uid="{8423917C-C2CE-48E0-B772-60C20063C1EA}">
      <formula1>C_COMPTES</formula1>
    </dataValidation>
    <dataValidation type="list" allowBlank="1" showInputMessage="1" showErrorMessage="1" sqref="C16:S16" xr:uid="{6720809A-ADC9-4B4D-A786-4EAC10A1351D}">
      <formula1>C_PROFILES</formula1>
    </dataValidation>
  </dataValidations>
  <printOptions horizontalCentered="1"/>
  <pageMargins left="0.25" right="0.25" top="0.75" bottom="0.75" header="0.3" footer="0.3"/>
  <pageSetup paperSize="8" scale="93" orientation="portrait" r:id="rId1"/>
  <headerFooter>
    <oddHeader>&amp;CPage &amp;P de &amp;N&amp;R&amp;"-,Gras"&amp;12&amp;D</oddHead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A03E3-54F1-4063-AF2E-1F3C8B3A3722}">
  <sheetPr codeName="Feuil8">
    <pageSetUpPr fitToPage="1"/>
  </sheetPr>
  <dimension ref="B1:L27"/>
  <sheetViews>
    <sheetView showGridLines="0" showRowColHeaders="0" view="pageBreakPreview" zoomScaleNormal="100" zoomScaleSheetLayoutView="100" workbookViewId="0">
      <selection activeCell="B21" sqref="B21:L24"/>
    </sheetView>
  </sheetViews>
  <sheetFormatPr baseColWidth="10" defaultRowHeight="15" x14ac:dyDescent="0.25"/>
  <cols>
    <col min="1" max="1" width="41.5703125" customWidth="1"/>
    <col min="2" max="2" width="18.140625" customWidth="1"/>
    <col min="3" max="3" width="36.28515625" customWidth="1"/>
    <col min="4" max="4" width="11.7109375" customWidth="1"/>
    <col min="5" max="5" width="21.5703125" customWidth="1"/>
    <col min="6" max="6" width="22.42578125" customWidth="1"/>
    <col min="7" max="7" width="8.42578125" bestFit="1" customWidth="1"/>
  </cols>
  <sheetData>
    <row r="1" spans="2:12" ht="19.5" customHeight="1" x14ac:dyDescent="0.25"/>
    <row r="2" spans="2:12" ht="33.75" x14ac:dyDescent="0.5">
      <c r="B2" s="3" t="s">
        <v>38</v>
      </c>
      <c r="C2" s="81" t="str">
        <f>Projet_ref</f>
        <v>PROJET SEMA TEST</v>
      </c>
      <c r="D2" s="81"/>
      <c r="E2" s="81"/>
      <c r="F2" s="81"/>
      <c r="G2" s="81"/>
      <c r="H2" s="81"/>
      <c r="J2" s="15" t="s">
        <v>1</v>
      </c>
      <c r="K2" s="82" t="str">
        <f>Projet_Suivi_par</f>
        <v>Yannick</v>
      </c>
      <c r="L2" s="82"/>
    </row>
    <row r="3" spans="2:12" ht="18.75" x14ac:dyDescent="0.3">
      <c r="C3" s="82" t="str">
        <f>Projet_Adresse</f>
        <v>rue de mon adresse</v>
      </c>
      <c r="D3" s="82"/>
      <c r="E3" s="82"/>
      <c r="F3" s="82"/>
      <c r="G3" s="82"/>
      <c r="H3" s="82"/>
      <c r="J3" s="15" t="s">
        <v>2</v>
      </c>
      <c r="K3" s="83" t="str">
        <f>Projet_Conducteur</f>
        <v/>
      </c>
      <c r="L3" s="83"/>
    </row>
    <row r="4" spans="2:12" x14ac:dyDescent="0.25">
      <c r="C4" s="82" t="str">
        <f>Projet_CP</f>
        <v>12 345</v>
      </c>
      <c r="D4" s="82"/>
      <c r="E4" s="82"/>
      <c r="F4" s="82"/>
      <c r="G4" s="82"/>
      <c r="H4" s="82"/>
    </row>
    <row r="5" spans="2:12" ht="23.25" x14ac:dyDescent="0.35">
      <c r="B5" s="4" t="s">
        <v>37</v>
      </c>
    </row>
    <row r="6" spans="2:12" s="5" customFormat="1" ht="20.25" customHeight="1" x14ac:dyDescent="0.3">
      <c r="C6" s="5" t="s">
        <v>5</v>
      </c>
      <c r="D6" s="16" t="s">
        <v>40</v>
      </c>
      <c r="E6" s="5" t="s">
        <v>19</v>
      </c>
      <c r="F6" s="5" t="s">
        <v>20</v>
      </c>
      <c r="G6" s="5" t="s">
        <v>21</v>
      </c>
      <c r="H6" s="5" t="s">
        <v>22</v>
      </c>
      <c r="I6" s="5" t="s">
        <v>41</v>
      </c>
      <c r="J6" s="5" t="s">
        <v>6</v>
      </c>
      <c r="K6" s="5" t="s">
        <v>24</v>
      </c>
      <c r="L6" s="5" t="s">
        <v>36</v>
      </c>
    </row>
    <row r="7" spans="2:12" s="5" customFormat="1" ht="18.75" x14ac:dyDescent="0.3">
      <c r="C7" s="56" t="s">
        <v>101</v>
      </c>
      <c r="D7" s="57">
        <v>302</v>
      </c>
      <c r="E7" s="56" t="s">
        <v>102</v>
      </c>
      <c r="F7" s="56" t="s">
        <v>93</v>
      </c>
      <c r="G7" s="56" t="s">
        <v>93</v>
      </c>
      <c r="H7" s="56" t="s">
        <v>93</v>
      </c>
      <c r="I7" s="58">
        <v>2.3620000000000001</v>
      </c>
      <c r="J7" s="59">
        <v>2</v>
      </c>
      <c r="K7" s="14" t="s">
        <v>33</v>
      </c>
    </row>
    <row r="8" spans="2:12" s="5" customFormat="1" ht="18.75" x14ac:dyDescent="0.3">
      <c r="C8" s="56" t="s">
        <v>101</v>
      </c>
      <c r="D8" s="57">
        <v>303</v>
      </c>
      <c r="E8" s="56" t="s">
        <v>102</v>
      </c>
      <c r="F8" s="56" t="s">
        <v>93</v>
      </c>
      <c r="G8" s="56" t="s">
        <v>93</v>
      </c>
      <c r="H8" s="56" t="s">
        <v>93</v>
      </c>
      <c r="I8" s="58">
        <v>1.018</v>
      </c>
      <c r="J8" s="59">
        <v>1</v>
      </c>
      <c r="K8" s="14" t="s">
        <v>33</v>
      </c>
    </row>
    <row r="9" spans="2:12" s="5" customFormat="1" ht="18.75" x14ac:dyDescent="0.3">
      <c r="D9" s="16"/>
      <c r="J9" s="13"/>
      <c r="K9" s="14" t="s">
        <v>34</v>
      </c>
    </row>
    <row r="10" spans="2:12" s="5" customFormat="1" ht="18.75" x14ac:dyDescent="0.3">
      <c r="C10" s="56" t="s">
        <v>103</v>
      </c>
      <c r="D10" s="57">
        <v>0</v>
      </c>
      <c r="E10" s="56" t="s">
        <v>104</v>
      </c>
      <c r="F10" s="56" t="s">
        <v>93</v>
      </c>
      <c r="G10" s="56" t="s">
        <v>93</v>
      </c>
      <c r="H10" s="56" t="s">
        <v>93</v>
      </c>
      <c r="I10" s="56" t="s">
        <v>93</v>
      </c>
      <c r="J10" s="61">
        <v>18.73</v>
      </c>
      <c r="K10" s="14" t="s">
        <v>35</v>
      </c>
    </row>
    <row r="11" spans="2:12" s="5" customFormat="1" ht="18.75" x14ac:dyDescent="0.3">
      <c r="D11" s="16"/>
      <c r="J11" s="13"/>
      <c r="K11" s="14"/>
    </row>
    <row r="13" spans="2:12" ht="23.25" x14ac:dyDescent="0.35">
      <c r="B13" s="4" t="s">
        <v>31</v>
      </c>
    </row>
    <row r="14" spans="2:12" s="5" customFormat="1" ht="20.25" customHeight="1" x14ac:dyDescent="0.3">
      <c r="B14" s="5" t="s">
        <v>7</v>
      </c>
      <c r="C14" s="5" t="s">
        <v>5</v>
      </c>
      <c r="D14" s="16" t="s">
        <v>40</v>
      </c>
      <c r="E14" s="5" t="s">
        <v>19</v>
      </c>
      <c r="F14" s="5" t="s">
        <v>20</v>
      </c>
      <c r="G14" s="5" t="s">
        <v>21</v>
      </c>
      <c r="H14" s="5" t="s">
        <v>22</v>
      </c>
      <c r="I14" s="5" t="s">
        <v>41</v>
      </c>
      <c r="J14" s="5" t="s">
        <v>6</v>
      </c>
      <c r="K14" s="5" t="s">
        <v>42</v>
      </c>
      <c r="L14" s="5" t="s">
        <v>36</v>
      </c>
    </row>
    <row r="15" spans="2:12" s="5" customFormat="1" ht="18.75" x14ac:dyDescent="0.3">
      <c r="B15" s="56" t="s">
        <v>95</v>
      </c>
      <c r="C15" s="56" t="s">
        <v>101</v>
      </c>
      <c r="D15" s="60">
        <v>302</v>
      </c>
      <c r="E15" s="56" t="s">
        <v>102</v>
      </c>
      <c r="F15" s="56" t="s">
        <v>93</v>
      </c>
      <c r="G15" s="56" t="s">
        <v>93</v>
      </c>
      <c r="H15" s="56" t="s">
        <v>93</v>
      </c>
      <c r="I15" s="58">
        <v>1.018</v>
      </c>
      <c r="J15" s="59">
        <v>3</v>
      </c>
      <c r="K15" s="14" t="s">
        <v>33</v>
      </c>
    </row>
    <row r="16" spans="2:12" s="5" customFormat="1" ht="18.75" x14ac:dyDescent="0.3">
      <c r="J16" s="13"/>
      <c r="K16" s="14" t="s">
        <v>34</v>
      </c>
    </row>
    <row r="17" spans="2:12" s="5" customFormat="1" ht="18.75" x14ac:dyDescent="0.3">
      <c r="B17" s="56" t="s">
        <v>97</v>
      </c>
      <c r="C17" s="56" t="s">
        <v>103</v>
      </c>
      <c r="D17" s="60">
        <v>0</v>
      </c>
      <c r="E17" s="56" t="s">
        <v>104</v>
      </c>
      <c r="F17" s="56" t="s">
        <v>93</v>
      </c>
      <c r="G17" s="56" t="s">
        <v>93</v>
      </c>
      <c r="H17" s="56" t="s">
        <v>93</v>
      </c>
      <c r="I17" s="56" t="s">
        <v>93</v>
      </c>
      <c r="J17" s="61">
        <v>11.35</v>
      </c>
      <c r="K17" s="14" t="s">
        <v>35</v>
      </c>
    </row>
    <row r="18" spans="2:12" s="5" customFormat="1" ht="18.75" x14ac:dyDescent="0.3">
      <c r="B18" s="56" t="s">
        <v>98</v>
      </c>
      <c r="C18" s="56" t="s">
        <v>103</v>
      </c>
      <c r="D18" s="60">
        <v>0</v>
      </c>
      <c r="E18" s="56" t="s">
        <v>104</v>
      </c>
      <c r="F18" s="56" t="s">
        <v>93</v>
      </c>
      <c r="G18" s="56" t="s">
        <v>93</v>
      </c>
      <c r="H18" s="56" t="s">
        <v>93</v>
      </c>
      <c r="I18" s="56" t="s">
        <v>93</v>
      </c>
      <c r="J18" s="61">
        <v>7.38</v>
      </c>
      <c r="K18" s="14" t="s">
        <v>35</v>
      </c>
    </row>
    <row r="19" spans="2:12" s="5" customFormat="1" ht="18.75" x14ac:dyDescent="0.3">
      <c r="J19" s="13"/>
      <c r="K19" s="14"/>
    </row>
    <row r="21" spans="2:12" ht="23.25" x14ac:dyDescent="0.35">
      <c r="B21" s="4" t="s">
        <v>32</v>
      </c>
    </row>
    <row r="22" spans="2:12" ht="20.25" customHeight="1" x14ac:dyDescent="0.3">
      <c r="B22" s="5" t="s">
        <v>7</v>
      </c>
      <c r="C22" s="5" t="s">
        <v>5</v>
      </c>
      <c r="D22" s="16" t="s">
        <v>40</v>
      </c>
      <c r="E22" s="5" t="s">
        <v>19</v>
      </c>
      <c r="F22" s="5" t="s">
        <v>20</v>
      </c>
      <c r="G22" s="5" t="s">
        <v>21</v>
      </c>
      <c r="H22" s="5" t="s">
        <v>22</v>
      </c>
      <c r="I22" s="5" t="s">
        <v>41</v>
      </c>
      <c r="J22" s="5" t="s">
        <v>6</v>
      </c>
      <c r="K22" s="5" t="s">
        <v>42</v>
      </c>
      <c r="L22" s="5" t="s">
        <v>36</v>
      </c>
    </row>
    <row r="23" spans="2:12" ht="18.75" x14ac:dyDescent="0.3">
      <c r="B23" s="5"/>
      <c r="C23" s="5"/>
      <c r="D23" s="5"/>
      <c r="E23" s="5"/>
      <c r="F23" s="5"/>
      <c r="G23" s="5"/>
      <c r="H23" s="5"/>
      <c r="I23" s="5"/>
      <c r="J23" s="13"/>
      <c r="K23" s="14" t="s">
        <v>33</v>
      </c>
      <c r="L23" s="5"/>
    </row>
    <row r="24" spans="2:12" ht="18.75" x14ac:dyDescent="0.3">
      <c r="B24" s="5"/>
      <c r="C24" s="5"/>
      <c r="D24" s="5"/>
      <c r="E24" s="5"/>
      <c r="F24" s="5"/>
      <c r="G24" s="5"/>
      <c r="H24" s="5"/>
      <c r="I24" s="5"/>
      <c r="J24" s="13"/>
      <c r="K24" s="14" t="s">
        <v>34</v>
      </c>
      <c r="L24" s="5"/>
    </row>
    <row r="25" spans="2:12" ht="18.75" x14ac:dyDescent="0.3">
      <c r="B25" s="5"/>
      <c r="C25" s="5"/>
      <c r="D25" s="5"/>
      <c r="E25" s="5"/>
      <c r="F25" s="5"/>
      <c r="G25" s="5"/>
      <c r="H25" s="5"/>
      <c r="I25" s="5"/>
      <c r="J25" s="13"/>
      <c r="K25" s="14" t="s">
        <v>35</v>
      </c>
      <c r="L25" s="5"/>
    </row>
    <row r="26" spans="2:12" ht="18.75" x14ac:dyDescent="0.3">
      <c r="B26" s="5"/>
      <c r="C26" s="5"/>
      <c r="D26" s="5"/>
      <c r="E26" s="5"/>
      <c r="F26" s="5"/>
      <c r="G26" s="5"/>
      <c r="H26" s="5"/>
      <c r="I26" s="5"/>
      <c r="J26" s="13"/>
      <c r="K26" s="14"/>
      <c r="L26" s="5"/>
    </row>
    <row r="27" spans="2:12" ht="18.75" x14ac:dyDescent="0.3">
      <c r="B27" s="5"/>
      <c r="C27" s="5"/>
      <c r="D27" s="5"/>
      <c r="G27" s="5"/>
    </row>
  </sheetData>
  <mergeCells count="5">
    <mergeCell ref="C2:H2"/>
    <mergeCell ref="C3:H3"/>
    <mergeCell ref="C4:H4"/>
    <mergeCell ref="K2:L2"/>
    <mergeCell ref="K3:L3"/>
  </mergeCells>
  <pageMargins left="0.19685039370078741" right="0.23622047244094491" top="0.35433070866141736" bottom="0.35433070866141736" header="0.31496062992125984" footer="0.31496062992125984"/>
  <pageSetup paperSize="9" scale="56" fitToHeight="0" orientation="portrait" r:id="rId1"/>
  <rowBreaks count="2" manualBreakCount="2">
    <brk id="11" min="1" max="11" man="1"/>
    <brk id="19" min="1" max="11" man="1"/>
  </rowBreaks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AF1A-3A29-4F8F-AB0E-B842909FEFCF}">
  <sheetPr codeName="Feuil2">
    <pageSetUpPr fitToPage="1"/>
  </sheetPr>
  <dimension ref="B1:G40"/>
  <sheetViews>
    <sheetView showGridLines="0" showRowColHeader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3" t="s">
        <v>4</v>
      </c>
      <c r="E2" s="15" t="s">
        <v>1</v>
      </c>
      <c r="F2" s="6" t="str">
        <f>Projet_Suivi_par</f>
        <v>Yannick</v>
      </c>
    </row>
    <row r="3" spans="2:7" ht="18.75" x14ac:dyDescent="0.3">
      <c r="E3" s="15" t="s">
        <v>2</v>
      </c>
      <c r="F3" s="12" t="str">
        <f>Projet_Conducteur</f>
        <v/>
      </c>
    </row>
    <row r="4" spans="2:7" ht="33.75" x14ac:dyDescent="0.5">
      <c r="B4" s="81" t="str">
        <f>Projet_ref</f>
        <v>PROJET SEMA TEST</v>
      </c>
      <c r="C4" s="81"/>
      <c r="D4" s="81"/>
      <c r="E4" s="81"/>
      <c r="F4" s="81"/>
      <c r="G4" s="81"/>
    </row>
    <row r="5" spans="2:7" x14ac:dyDescent="0.25">
      <c r="B5" s="82" t="str">
        <f>Projet_Adresse</f>
        <v>rue de mon adresse</v>
      </c>
      <c r="C5" s="82"/>
      <c r="D5" s="82"/>
      <c r="E5" s="82"/>
      <c r="F5" s="82"/>
      <c r="G5" s="82"/>
    </row>
    <row r="6" spans="2:7" x14ac:dyDescent="0.25">
      <c r="B6" s="82" t="str">
        <f>Projet_CP</f>
        <v>12 345</v>
      </c>
      <c r="C6" s="82"/>
      <c r="D6" s="82"/>
      <c r="E6" s="82"/>
      <c r="F6" s="82"/>
      <c r="G6" s="82"/>
    </row>
    <row r="8" spans="2:7" ht="23.25" x14ac:dyDescent="0.35">
      <c r="B8" s="4" t="s">
        <v>8</v>
      </c>
    </row>
    <row r="9" spans="2:7" s="5" customFormat="1" ht="20.25" customHeight="1" x14ac:dyDescent="0.3">
      <c r="B9" s="5" t="s">
        <v>50</v>
      </c>
      <c r="C9" s="5" t="s">
        <v>5</v>
      </c>
      <c r="D9" s="5" t="s">
        <v>19</v>
      </c>
      <c r="E9" s="5" t="s">
        <v>6</v>
      </c>
      <c r="F9" s="5" t="s">
        <v>24</v>
      </c>
      <c r="G9" s="5" t="s">
        <v>36</v>
      </c>
    </row>
    <row r="10" spans="2:7" s="5" customFormat="1" ht="18.75" x14ac:dyDescent="0.3">
      <c r="C10" s="56" t="s">
        <v>105</v>
      </c>
      <c r="D10" s="56" t="s">
        <v>93</v>
      </c>
      <c r="E10" s="59">
        <v>2</v>
      </c>
      <c r="F10" s="14" t="s">
        <v>33</v>
      </c>
    </row>
    <row r="11" spans="2:7" s="5" customFormat="1" ht="18.75" x14ac:dyDescent="0.3">
      <c r="C11" s="56" t="s">
        <v>106</v>
      </c>
      <c r="D11" s="56" t="s">
        <v>93</v>
      </c>
      <c r="E11" s="59">
        <v>2</v>
      </c>
      <c r="F11" s="14" t="s">
        <v>33</v>
      </c>
    </row>
    <row r="12" spans="2:7" s="5" customFormat="1" ht="18.75" x14ac:dyDescent="0.3">
      <c r="C12" s="56" t="s">
        <v>107</v>
      </c>
      <c r="D12" s="56" t="s">
        <v>108</v>
      </c>
      <c r="E12" s="59">
        <v>1</v>
      </c>
      <c r="F12" s="14" t="s">
        <v>33</v>
      </c>
    </row>
    <row r="13" spans="2:7" s="5" customFormat="1" ht="18.75" x14ac:dyDescent="0.3">
      <c r="C13" s="56" t="s">
        <v>109</v>
      </c>
      <c r="D13" s="56" t="s">
        <v>108</v>
      </c>
      <c r="E13" s="59">
        <v>1</v>
      </c>
      <c r="F13" s="14" t="s">
        <v>33</v>
      </c>
    </row>
    <row r="14" spans="2:7" s="5" customFormat="1" ht="18.75" x14ac:dyDescent="0.3">
      <c r="C14" s="56" t="s">
        <v>110</v>
      </c>
      <c r="D14" s="56" t="s">
        <v>93</v>
      </c>
      <c r="E14" s="59">
        <v>4</v>
      </c>
      <c r="F14" s="14" t="s">
        <v>33</v>
      </c>
    </row>
    <row r="15" spans="2:7" s="5" customFormat="1" ht="18.75" x14ac:dyDescent="0.3">
      <c r="C15" s="56" t="s">
        <v>111</v>
      </c>
      <c r="D15" s="56" t="s">
        <v>112</v>
      </c>
      <c r="E15" s="59">
        <v>26</v>
      </c>
      <c r="F15" s="14" t="s">
        <v>33</v>
      </c>
    </row>
    <row r="16" spans="2:7" s="5" customFormat="1" ht="18.75" x14ac:dyDescent="0.3">
      <c r="C16" s="56" t="s">
        <v>113</v>
      </c>
      <c r="D16" s="56" t="s">
        <v>112</v>
      </c>
      <c r="E16" s="59">
        <v>4</v>
      </c>
      <c r="F16" s="14" t="s">
        <v>33</v>
      </c>
    </row>
    <row r="17" spans="2:7" s="5" customFormat="1" ht="18.75" x14ac:dyDescent="0.3">
      <c r="B17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7" s="13"/>
      <c r="F17" s="14" t="s">
        <v>34</v>
      </c>
    </row>
    <row r="18" spans="2:7" s="5" customFormat="1" ht="18.75" x14ac:dyDescent="0.3">
      <c r="B18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8" s="13"/>
      <c r="F18" s="14" t="s">
        <v>35</v>
      </c>
    </row>
    <row r="19" spans="2:7" s="5" customFormat="1" ht="18.75" x14ac:dyDescent="0.3">
      <c r="B19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9" s="13"/>
      <c r="F19" s="14"/>
    </row>
    <row r="21" spans="2:7" ht="23.25" x14ac:dyDescent="0.35">
      <c r="B21" s="4" t="s">
        <v>31</v>
      </c>
    </row>
    <row r="22" spans="2:7" s="5" customFormat="1" ht="20.25" customHeight="1" x14ac:dyDescent="0.3">
      <c r="B22" s="5" t="s">
        <v>7</v>
      </c>
      <c r="C22" s="5" t="s">
        <v>5</v>
      </c>
      <c r="D22" s="5" t="s">
        <v>19</v>
      </c>
      <c r="E22" s="5" t="s">
        <v>6</v>
      </c>
      <c r="F22" s="5" t="s">
        <v>24</v>
      </c>
      <c r="G22" s="5" t="s">
        <v>36</v>
      </c>
    </row>
    <row r="23" spans="2:7" s="5" customFormat="1" ht="18.75" x14ac:dyDescent="0.3">
      <c r="B23" s="56" t="s">
        <v>99</v>
      </c>
      <c r="C23" s="56" t="s">
        <v>111</v>
      </c>
      <c r="D23" s="56" t="s">
        <v>112</v>
      </c>
      <c r="E23" s="59">
        <v>22</v>
      </c>
      <c r="F23" s="14" t="s">
        <v>33</v>
      </c>
    </row>
    <row r="24" spans="2:7" s="5" customFormat="1" ht="18.75" x14ac:dyDescent="0.3">
      <c r="B24" s="56" t="s">
        <v>99</v>
      </c>
      <c r="C24" s="56" t="s">
        <v>113</v>
      </c>
      <c r="D24" s="56" t="s">
        <v>112</v>
      </c>
      <c r="E24" s="59">
        <v>4</v>
      </c>
      <c r="F24" s="14" t="s">
        <v>33</v>
      </c>
    </row>
    <row r="25" spans="2:7" s="5" customFormat="1" ht="18.75" x14ac:dyDescent="0.3">
      <c r="E25" s="13"/>
      <c r="F25" s="14" t="s">
        <v>34</v>
      </c>
    </row>
    <row r="26" spans="2:7" s="5" customFormat="1" ht="18.75" x14ac:dyDescent="0.3">
      <c r="E26" s="13"/>
      <c r="F26" s="14" t="s">
        <v>35</v>
      </c>
    </row>
    <row r="27" spans="2:7" s="5" customFormat="1" ht="18.75" x14ac:dyDescent="0.3">
      <c r="E27" s="13"/>
      <c r="F27" s="14"/>
    </row>
    <row r="29" spans="2:7" ht="23.25" x14ac:dyDescent="0.35">
      <c r="B29" s="4" t="s">
        <v>32</v>
      </c>
    </row>
    <row r="30" spans="2:7" ht="20.25" customHeight="1" x14ac:dyDescent="0.3">
      <c r="B30" s="5" t="s">
        <v>7</v>
      </c>
      <c r="C30" s="5" t="s">
        <v>5</v>
      </c>
      <c r="D30" s="5" t="s">
        <v>19</v>
      </c>
      <c r="E30" s="5" t="s">
        <v>6</v>
      </c>
      <c r="F30" s="5" t="s">
        <v>24</v>
      </c>
      <c r="G30" s="5" t="s">
        <v>36</v>
      </c>
    </row>
    <row r="31" spans="2:7" ht="18.75" x14ac:dyDescent="0.3">
      <c r="B31" s="56" t="s">
        <v>99</v>
      </c>
      <c r="C31" s="56" t="s">
        <v>105</v>
      </c>
      <c r="D31" s="56" t="s">
        <v>93</v>
      </c>
      <c r="E31" s="59">
        <v>2</v>
      </c>
      <c r="F31" s="14" t="s">
        <v>33</v>
      </c>
      <c r="G31" s="5"/>
    </row>
    <row r="32" spans="2:7" ht="18.75" x14ac:dyDescent="0.3">
      <c r="B32" s="56" t="s">
        <v>99</v>
      </c>
      <c r="C32" s="56" t="s">
        <v>106</v>
      </c>
      <c r="D32" s="56" t="s">
        <v>93</v>
      </c>
      <c r="E32" s="59">
        <v>2</v>
      </c>
      <c r="F32" s="14" t="s">
        <v>33</v>
      </c>
      <c r="G32" s="5"/>
    </row>
    <row r="33" spans="2:7" ht="18.75" x14ac:dyDescent="0.3">
      <c r="B33" s="56" t="s">
        <v>99</v>
      </c>
      <c r="C33" s="56" t="s">
        <v>107</v>
      </c>
      <c r="D33" s="56" t="s">
        <v>108</v>
      </c>
      <c r="E33" s="59">
        <v>1</v>
      </c>
      <c r="F33" s="14" t="s">
        <v>33</v>
      </c>
      <c r="G33" s="5"/>
    </row>
    <row r="34" spans="2:7" ht="18.75" x14ac:dyDescent="0.3">
      <c r="B34" s="56" t="s">
        <v>99</v>
      </c>
      <c r="C34" s="56" t="s">
        <v>110</v>
      </c>
      <c r="D34" s="56" t="s">
        <v>93</v>
      </c>
      <c r="E34" s="59">
        <v>4</v>
      </c>
      <c r="F34" s="14" t="s">
        <v>33</v>
      </c>
      <c r="G34" s="5"/>
    </row>
    <row r="35" spans="2:7" ht="18.75" x14ac:dyDescent="0.3">
      <c r="B35" s="56" t="s">
        <v>99</v>
      </c>
      <c r="C35" s="56" t="s">
        <v>111</v>
      </c>
      <c r="D35" s="56" t="s">
        <v>112</v>
      </c>
      <c r="E35" s="59">
        <v>4</v>
      </c>
      <c r="F35" s="14" t="s">
        <v>33</v>
      </c>
      <c r="G35" s="5"/>
    </row>
    <row r="36" spans="2:7" ht="18.75" x14ac:dyDescent="0.3">
      <c r="B36" s="56" t="s">
        <v>100</v>
      </c>
      <c r="C36" s="56" t="s">
        <v>109</v>
      </c>
      <c r="D36" s="56" t="s">
        <v>108</v>
      </c>
      <c r="E36" s="59">
        <v>1</v>
      </c>
      <c r="F36" s="14" t="s">
        <v>33</v>
      </c>
      <c r="G36" s="5"/>
    </row>
    <row r="37" spans="2:7" ht="18.75" x14ac:dyDescent="0.3">
      <c r="B37" s="5"/>
      <c r="C37" s="5"/>
      <c r="D37" s="5"/>
      <c r="E37" s="13"/>
      <c r="F37" s="14" t="s">
        <v>34</v>
      </c>
      <c r="G37" s="5"/>
    </row>
    <row r="38" spans="2:7" ht="18.75" x14ac:dyDescent="0.3">
      <c r="B38" s="5"/>
      <c r="C38" s="5"/>
      <c r="D38" s="5"/>
      <c r="E38" s="13"/>
      <c r="F38" s="14" t="s">
        <v>35</v>
      </c>
      <c r="G38" s="5"/>
    </row>
    <row r="39" spans="2:7" ht="18.75" x14ac:dyDescent="0.3">
      <c r="B39" s="5"/>
      <c r="C39" s="5"/>
      <c r="D39" s="5"/>
      <c r="E39" s="13"/>
      <c r="F39" s="14"/>
      <c r="G39" s="5"/>
    </row>
    <row r="40" spans="2:7" ht="18.75" x14ac:dyDescent="0.3">
      <c r="B40" s="5"/>
      <c r="C40" s="5"/>
      <c r="D40" s="5"/>
      <c r="G40" s="5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9" min="1" max="6" man="1"/>
    <brk id="27" min="1" max="6" man="1"/>
  </rowBreaks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1522-C177-46A3-A2B3-ACCD51CAB238}">
  <sheetPr codeName="Feuil9">
    <pageSetUpPr fitToPage="1"/>
  </sheetPr>
  <dimension ref="B1:G28"/>
  <sheetViews>
    <sheetView showGridLines="0" showRowColHeader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3" t="s">
        <v>39</v>
      </c>
      <c r="E2" s="15" t="s">
        <v>1</v>
      </c>
      <c r="F2" s="6" t="str">
        <f>Projet_Suivi_par</f>
        <v>Yannick</v>
      </c>
    </row>
    <row r="3" spans="2:7" ht="18.75" x14ac:dyDescent="0.3">
      <c r="E3" s="15" t="s">
        <v>2</v>
      </c>
      <c r="F3" s="12" t="str">
        <f>Projet_Conducteur</f>
        <v/>
      </c>
    </row>
    <row r="4" spans="2:7" ht="33.75" x14ac:dyDescent="0.5">
      <c r="B4" s="81" t="str">
        <f>Projet_ref</f>
        <v>PROJET SEMA TEST</v>
      </c>
      <c r="C4" s="81"/>
      <c r="D4" s="81"/>
      <c r="E4" s="81"/>
      <c r="F4" s="81"/>
      <c r="G4" s="81"/>
    </row>
    <row r="5" spans="2:7" x14ac:dyDescent="0.25">
      <c r="B5" s="82" t="str">
        <f>Projet_Adresse</f>
        <v>rue de mon adresse</v>
      </c>
      <c r="C5" s="82"/>
      <c r="D5" s="82"/>
      <c r="E5" s="82"/>
      <c r="F5" s="82"/>
      <c r="G5" s="82"/>
    </row>
    <row r="6" spans="2:7" x14ac:dyDescent="0.25">
      <c r="B6" s="82" t="str">
        <f>Projet_CP</f>
        <v>12 345</v>
      </c>
      <c r="C6" s="82"/>
      <c r="D6" s="82"/>
      <c r="E6" s="82"/>
      <c r="F6" s="82"/>
      <c r="G6" s="82"/>
    </row>
    <row r="8" spans="2:7" ht="23.25" x14ac:dyDescent="0.35">
      <c r="B8" s="4" t="s">
        <v>37</v>
      </c>
    </row>
    <row r="9" spans="2:7" s="5" customFormat="1" ht="20.25" customHeight="1" x14ac:dyDescent="0.3">
      <c r="C9" s="5" t="s">
        <v>5</v>
      </c>
      <c r="D9" s="5" t="s">
        <v>19</v>
      </c>
      <c r="E9" s="5" t="s">
        <v>6</v>
      </c>
      <c r="F9" s="5" t="s">
        <v>24</v>
      </c>
      <c r="G9" s="5" t="s">
        <v>36</v>
      </c>
    </row>
    <row r="10" spans="2:7" s="5" customFormat="1" ht="18.75" x14ac:dyDescent="0.3">
      <c r="E10" s="13"/>
      <c r="F10" s="14" t="s">
        <v>33</v>
      </c>
    </row>
    <row r="11" spans="2:7" s="5" customFormat="1" ht="18.75" x14ac:dyDescent="0.3">
      <c r="C11" s="56" t="s">
        <v>116</v>
      </c>
      <c r="D11" s="56" t="s">
        <v>93</v>
      </c>
      <c r="E11" s="61">
        <v>8.2059999999999995</v>
      </c>
      <c r="F11" s="14" t="s">
        <v>34</v>
      </c>
    </row>
    <row r="12" spans="2:7" s="5" customFormat="1" ht="18.75" x14ac:dyDescent="0.3">
      <c r="E12" s="13"/>
      <c r="F12" s="14" t="s">
        <v>35</v>
      </c>
    </row>
    <row r="13" spans="2:7" s="5" customFormat="1" ht="18.75" x14ac:dyDescent="0.3">
      <c r="E13" s="13"/>
      <c r="F13" s="14"/>
    </row>
    <row r="15" spans="2:7" ht="23.25" x14ac:dyDescent="0.35">
      <c r="B15" s="4" t="s">
        <v>31</v>
      </c>
    </row>
    <row r="16" spans="2:7" s="5" customFormat="1" ht="20.25" customHeight="1" x14ac:dyDescent="0.3">
      <c r="B16" s="5" t="s">
        <v>7</v>
      </c>
      <c r="C16" s="5" t="s">
        <v>5</v>
      </c>
      <c r="D16" s="5" t="s">
        <v>19</v>
      </c>
      <c r="E16" s="5" t="s">
        <v>6</v>
      </c>
      <c r="F16" s="5" t="s">
        <v>24</v>
      </c>
      <c r="G16" s="5" t="s">
        <v>36</v>
      </c>
    </row>
    <row r="17" spans="2:7" s="5" customFormat="1" ht="18.75" x14ac:dyDescent="0.3">
      <c r="B17" s="56"/>
      <c r="C17" s="56"/>
      <c r="D17" s="56"/>
      <c r="E17" s="61"/>
      <c r="F17" s="14" t="s">
        <v>33</v>
      </c>
    </row>
    <row r="18" spans="2:7" s="5" customFormat="1" ht="18.75" x14ac:dyDescent="0.3">
      <c r="E18" s="13"/>
      <c r="F18" s="14" t="s">
        <v>34</v>
      </c>
    </row>
    <row r="19" spans="2:7" s="5" customFormat="1" ht="18.75" x14ac:dyDescent="0.3">
      <c r="E19" s="13"/>
      <c r="F19" s="14" t="s">
        <v>35</v>
      </c>
    </row>
    <row r="20" spans="2:7" s="5" customFormat="1" ht="18.75" x14ac:dyDescent="0.3">
      <c r="E20" s="13"/>
      <c r="F20" s="14"/>
    </row>
    <row r="22" spans="2:7" ht="23.25" x14ac:dyDescent="0.35">
      <c r="B22" s="4" t="s">
        <v>32</v>
      </c>
    </row>
    <row r="23" spans="2:7" ht="20.25" customHeight="1" x14ac:dyDescent="0.3">
      <c r="B23" s="5" t="s">
        <v>7</v>
      </c>
      <c r="C23" s="5" t="s">
        <v>5</v>
      </c>
      <c r="D23" s="5" t="s">
        <v>19</v>
      </c>
      <c r="E23" s="5" t="s">
        <v>6</v>
      </c>
      <c r="F23" s="5" t="s">
        <v>24</v>
      </c>
      <c r="G23" s="5" t="s">
        <v>36</v>
      </c>
    </row>
    <row r="24" spans="2:7" ht="18.75" x14ac:dyDescent="0.3">
      <c r="B24" s="5"/>
      <c r="C24" s="5"/>
      <c r="D24" s="5"/>
      <c r="E24" s="13"/>
      <c r="F24" s="14" t="s">
        <v>33</v>
      </c>
      <c r="G24" s="5"/>
    </row>
    <row r="25" spans="2:7" ht="18.75" x14ac:dyDescent="0.3">
      <c r="B25" s="56" t="s">
        <v>94</v>
      </c>
      <c r="C25" s="56" t="s">
        <v>116</v>
      </c>
      <c r="D25" s="56" t="s">
        <v>93</v>
      </c>
      <c r="E25" s="61">
        <v>8.2059999999999995</v>
      </c>
      <c r="F25" s="14" t="s">
        <v>34</v>
      </c>
      <c r="G25" s="5"/>
    </row>
    <row r="26" spans="2:7" ht="18.75" x14ac:dyDescent="0.3">
      <c r="B26" s="5"/>
      <c r="C26" s="5"/>
      <c r="D26" s="5"/>
      <c r="E26" s="13"/>
      <c r="F26" s="14" t="s">
        <v>35</v>
      </c>
      <c r="G26" s="5"/>
    </row>
    <row r="27" spans="2:7" ht="18.75" x14ac:dyDescent="0.3">
      <c r="B27" s="5"/>
      <c r="C27" s="5"/>
      <c r="D27" s="5"/>
      <c r="E27" s="13"/>
      <c r="F27" s="14"/>
      <c r="G27" s="5"/>
    </row>
    <row r="28" spans="2:7" ht="18.75" x14ac:dyDescent="0.3">
      <c r="B28" s="5"/>
      <c r="C28" s="5"/>
      <c r="D28" s="5"/>
      <c r="G28" s="5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367BF-04CD-4861-A145-E483A24315B7}">
  <sheetPr codeName="Feuil5"/>
  <dimension ref="B3:E14"/>
  <sheetViews>
    <sheetView showGridLines="0" showRowColHeaders="0" workbookViewId="0">
      <selection activeCell="J13" sqref="J13"/>
    </sheetView>
  </sheetViews>
  <sheetFormatPr baseColWidth="10" defaultRowHeight="15" x14ac:dyDescent="0.25"/>
  <cols>
    <col min="2" max="2" width="25" customWidth="1"/>
    <col min="3" max="3" width="22.140625" customWidth="1"/>
  </cols>
  <sheetData>
    <row r="3" spans="2:5" x14ac:dyDescent="0.25">
      <c r="B3" t="s">
        <v>49</v>
      </c>
      <c r="C3" t="s">
        <v>5</v>
      </c>
      <c r="D3" s="6" t="s">
        <v>40</v>
      </c>
      <c r="E3" s="6" t="s">
        <v>6</v>
      </c>
    </row>
    <row r="4" spans="2:5" x14ac:dyDescent="0.25">
      <c r="B4" s="62" t="s">
        <v>114</v>
      </c>
      <c r="C4" s="62" t="s">
        <v>115</v>
      </c>
      <c r="D4" s="63">
        <v>0</v>
      </c>
      <c r="E4" s="63">
        <v>1</v>
      </c>
    </row>
    <row r="5" spans="2:5" x14ac:dyDescent="0.25">
      <c r="B5" s="62" t="s">
        <v>107</v>
      </c>
      <c r="C5" s="62" t="s">
        <v>114</v>
      </c>
      <c r="D5" s="63">
        <v>0</v>
      </c>
      <c r="E5" s="63">
        <v>1</v>
      </c>
    </row>
    <row r="6" spans="2:5" x14ac:dyDescent="0.25">
      <c r="B6" s="62" t="s">
        <v>107</v>
      </c>
      <c r="C6" s="62" t="s">
        <v>114</v>
      </c>
      <c r="D6" s="63">
        <v>0</v>
      </c>
      <c r="E6" s="63">
        <v>1</v>
      </c>
    </row>
    <row r="7" spans="2:5" x14ac:dyDescent="0.25">
      <c r="B7" s="62" t="s">
        <v>107</v>
      </c>
      <c r="C7" s="62" t="s">
        <v>114</v>
      </c>
      <c r="D7" s="63">
        <v>0</v>
      </c>
      <c r="E7" s="63">
        <v>1</v>
      </c>
    </row>
    <row r="8" spans="2:5" x14ac:dyDescent="0.25">
      <c r="B8" s="62" t="s">
        <v>109</v>
      </c>
      <c r="C8" s="62" t="s">
        <v>114</v>
      </c>
      <c r="D8" s="63">
        <v>0</v>
      </c>
      <c r="E8" s="63">
        <v>2</v>
      </c>
    </row>
    <row r="9" spans="2:5" x14ac:dyDescent="0.25">
      <c r="B9" s="62" t="s">
        <v>109</v>
      </c>
      <c r="C9" s="62" t="s">
        <v>114</v>
      </c>
      <c r="D9" s="63">
        <v>0</v>
      </c>
      <c r="E9" s="63">
        <v>1</v>
      </c>
    </row>
    <row r="10" spans="2:5" x14ac:dyDescent="0.25">
      <c r="B10" s="62" t="s">
        <v>115</v>
      </c>
      <c r="C10" s="62" t="s">
        <v>114</v>
      </c>
      <c r="D10" s="63">
        <v>0</v>
      </c>
      <c r="E10" s="63">
        <v>1</v>
      </c>
    </row>
    <row r="11" spans="2:5" x14ac:dyDescent="0.25">
      <c r="B11" s="62"/>
      <c r="C11" s="62"/>
      <c r="D11" s="63"/>
      <c r="E11" s="63"/>
    </row>
    <row r="12" spans="2:5" x14ac:dyDescent="0.25">
      <c r="B12" s="62"/>
      <c r="C12" s="62"/>
      <c r="D12" s="63"/>
      <c r="E12" s="63"/>
    </row>
    <row r="13" spans="2:5" x14ac:dyDescent="0.25">
      <c r="B13" s="62"/>
      <c r="C13" s="62"/>
      <c r="D13" s="63"/>
      <c r="E13" s="63"/>
    </row>
    <row r="14" spans="2:5" x14ac:dyDescent="0.25">
      <c r="B14" s="62"/>
      <c r="C14" s="62"/>
      <c r="D14" s="63"/>
      <c r="E14" s="6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B217E-2BE1-47EA-B107-07106C3C1930}">
  <sheetPr codeName="Feuil4"/>
  <dimension ref="B2:E6"/>
  <sheetViews>
    <sheetView showGridLines="0" showRowColHeaders="0" view="pageBreakPreview" zoomScale="250" zoomScaleNormal="100" zoomScaleSheetLayoutView="250" workbookViewId="0">
      <selection activeCell="F10" sqref="F10"/>
    </sheetView>
  </sheetViews>
  <sheetFormatPr baseColWidth="10" defaultRowHeight="15" x14ac:dyDescent="0.25"/>
  <cols>
    <col min="2" max="2" width="11.5703125" customWidth="1"/>
    <col min="3" max="5" width="14.140625" customWidth="1"/>
  </cols>
  <sheetData>
    <row r="2" spans="2:5" x14ac:dyDescent="0.25">
      <c r="C2" t="s">
        <v>14</v>
      </c>
      <c r="D2" t="s">
        <v>15</v>
      </c>
      <c r="E2" t="s">
        <v>16</v>
      </c>
    </row>
    <row r="3" spans="2:5" x14ac:dyDescent="0.25">
      <c r="B3" t="s">
        <v>17</v>
      </c>
      <c r="C3" s="10">
        <v>6.5</v>
      </c>
      <c r="D3" s="10">
        <v>2.65</v>
      </c>
      <c r="E3" s="10">
        <f>4.5-0.08-0.05-1.4</f>
        <v>2.97</v>
      </c>
    </row>
    <row r="4" spans="2:5" x14ac:dyDescent="0.25">
      <c r="B4" t="s">
        <v>18</v>
      </c>
      <c r="C4" s="11">
        <v>7</v>
      </c>
      <c r="D4" s="11">
        <v>2.5</v>
      </c>
      <c r="E4" s="11">
        <f>4.3-0.1-0.1-0.7</f>
        <v>3.4000000000000004</v>
      </c>
    </row>
    <row r="6" spans="2:5" x14ac:dyDescent="0.25">
      <c r="B6" t="s">
        <v>10</v>
      </c>
      <c r="C6" t="s">
        <v>11</v>
      </c>
      <c r="D6" t="s">
        <v>12</v>
      </c>
      <c r="E6" t="s">
        <v>13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DBB1-4ADE-49EF-A1DD-BBAF9C605E05}">
  <sheetPr codeName="Feuil6"/>
  <dimension ref="B3:I24"/>
  <sheetViews>
    <sheetView showGridLines="0" showRowColHeaders="0" view="pageBreakPreview" zoomScale="145" zoomScaleNormal="100" zoomScaleSheetLayoutView="145" workbookViewId="0">
      <selection activeCell="J13" sqref="J13"/>
    </sheetView>
  </sheetViews>
  <sheetFormatPr baseColWidth="10" defaultRowHeight="15" x14ac:dyDescent="0.25"/>
  <cols>
    <col min="2" max="2" width="21.140625" customWidth="1"/>
    <col min="3" max="3" width="21.5703125" customWidth="1"/>
    <col min="5" max="5" width="13" customWidth="1"/>
    <col min="6" max="6" width="11.42578125" style="41"/>
    <col min="7" max="7" width="11.42578125" customWidth="1"/>
  </cols>
  <sheetData>
    <row r="3" spans="2:9" ht="28.5" x14ac:dyDescent="0.45">
      <c r="B3" s="3"/>
    </row>
    <row r="4" spans="2:9" ht="15.75" thickBot="1" x14ac:dyDescent="0.3"/>
    <row r="5" spans="2:9" ht="34.5" thickBot="1" x14ac:dyDescent="0.55000000000000004">
      <c r="B5" s="84" t="str">
        <f>Projet_ref</f>
        <v>PROJET SEMA TEST</v>
      </c>
      <c r="C5" s="85"/>
    </row>
    <row r="6" spans="2:9" ht="15.75" thickBot="1" x14ac:dyDescent="0.3">
      <c r="B6" s="86" t="str">
        <f>Projet_Adresse</f>
        <v>rue de mon adresse</v>
      </c>
      <c r="C6" s="87"/>
      <c r="E6" s="2" t="s">
        <v>1</v>
      </c>
      <c r="F6" s="88" t="str">
        <f>Projet_Suivi_par</f>
        <v>Yannick</v>
      </c>
      <c r="G6" s="89"/>
    </row>
    <row r="7" spans="2:9" ht="19.5" thickBot="1" x14ac:dyDescent="0.35">
      <c r="B7" s="90" t="str">
        <f>Projet_CP</f>
        <v>12 345</v>
      </c>
      <c r="C7" s="91"/>
      <c r="E7" s="2" t="s">
        <v>2</v>
      </c>
      <c r="F7" s="92" t="str">
        <f>Projet_Conducteur</f>
        <v/>
      </c>
      <c r="G7" s="93"/>
    </row>
    <row r="9" spans="2:9" ht="23.25" x14ac:dyDescent="0.35">
      <c r="B9" s="4" t="s">
        <v>25</v>
      </c>
    </row>
    <row r="10" spans="2:9" ht="18.75" x14ac:dyDescent="0.3">
      <c r="B10" s="5" t="s">
        <v>7</v>
      </c>
      <c r="C10" s="5" t="s">
        <v>19</v>
      </c>
      <c r="D10" s="5" t="s">
        <v>21</v>
      </c>
      <c r="E10" s="5" t="s">
        <v>43</v>
      </c>
      <c r="F10" s="40" t="s">
        <v>26</v>
      </c>
      <c r="G10" s="5"/>
      <c r="H10" s="5"/>
      <c r="I10" s="5"/>
    </row>
    <row r="11" spans="2:9" ht="18.75" x14ac:dyDescent="0.3">
      <c r="B11" s="56" t="s">
        <v>100</v>
      </c>
      <c r="C11" s="56" t="s">
        <v>117</v>
      </c>
      <c r="D11" s="56" t="s">
        <v>118</v>
      </c>
      <c r="E11" s="56" t="s">
        <v>93</v>
      </c>
      <c r="F11" s="58">
        <v>5.0999999999999997E-2</v>
      </c>
      <c r="G11" s="5"/>
      <c r="H11" s="5"/>
      <c r="I11" s="5"/>
    </row>
    <row r="12" spans="2:9" ht="18.75" x14ac:dyDescent="0.3">
      <c r="B12" s="5"/>
      <c r="C12" s="5"/>
      <c r="D12" s="5"/>
      <c r="E12" s="5"/>
      <c r="F12" s="40"/>
      <c r="G12" s="5"/>
      <c r="H12" s="5"/>
      <c r="I12" s="5"/>
    </row>
    <row r="13" spans="2:9" ht="18.75" x14ac:dyDescent="0.3">
      <c r="B13" s="5"/>
      <c r="C13" s="5"/>
      <c r="D13" s="5"/>
      <c r="E13" s="5"/>
      <c r="F13" s="40"/>
    </row>
    <row r="14" spans="2:9" ht="18.75" x14ac:dyDescent="0.3">
      <c r="B14" s="5"/>
      <c r="C14" s="5"/>
      <c r="D14" s="5"/>
      <c r="E14" s="5"/>
      <c r="F14" s="40"/>
    </row>
    <row r="15" spans="2:9" ht="18.75" x14ac:dyDescent="0.3">
      <c r="B15" s="5"/>
      <c r="C15" s="5"/>
      <c r="D15" s="5"/>
      <c r="E15" s="5"/>
      <c r="F15" s="40"/>
    </row>
    <row r="16" spans="2:9" ht="18.75" x14ac:dyDescent="0.3">
      <c r="B16" s="5"/>
      <c r="C16" s="5"/>
      <c r="D16" s="5"/>
      <c r="E16" s="5"/>
    </row>
    <row r="17" spans="2:5" ht="18.75" x14ac:dyDescent="0.3">
      <c r="B17" s="5"/>
      <c r="C17" s="5"/>
      <c r="D17" s="5"/>
      <c r="E17" s="5"/>
    </row>
    <row r="18" spans="2:5" ht="18.75" x14ac:dyDescent="0.3">
      <c r="B18" s="5"/>
      <c r="C18" s="5"/>
      <c r="D18" s="5"/>
      <c r="E18" s="5"/>
    </row>
    <row r="19" spans="2:5" ht="18.75" x14ac:dyDescent="0.3">
      <c r="B19" s="5"/>
      <c r="C19" s="5"/>
      <c r="D19" s="5"/>
      <c r="E19" s="5"/>
    </row>
    <row r="20" spans="2:5" ht="18.75" x14ac:dyDescent="0.3">
      <c r="B20" s="5"/>
      <c r="C20" s="5"/>
      <c r="D20" s="5"/>
      <c r="E20" s="5"/>
    </row>
    <row r="21" spans="2:5" ht="18.75" x14ac:dyDescent="0.3">
      <c r="B21" s="5"/>
      <c r="C21" s="5"/>
      <c r="D21" s="5"/>
      <c r="E21" s="5"/>
    </row>
    <row r="22" spans="2:5" ht="18.75" x14ac:dyDescent="0.3">
      <c r="B22" s="5"/>
      <c r="C22" s="5"/>
      <c r="D22" s="5"/>
      <c r="E22" s="5"/>
    </row>
    <row r="23" spans="2:5" ht="18.75" x14ac:dyDescent="0.3">
      <c r="B23" s="5"/>
      <c r="C23" s="5"/>
      <c r="D23" s="5"/>
      <c r="E23" s="5"/>
    </row>
    <row r="24" spans="2:5" ht="18.75" x14ac:dyDescent="0.3">
      <c r="B24" s="5"/>
      <c r="C24" s="5"/>
      <c r="D24" s="5"/>
      <c r="E24" s="5"/>
    </row>
  </sheetData>
  <mergeCells count="5">
    <mergeCell ref="B5:C5"/>
    <mergeCell ref="B6:C6"/>
    <mergeCell ref="F6:G6"/>
    <mergeCell ref="B7:C7"/>
    <mergeCell ref="F7:G7"/>
  </mergeCells>
  <phoneticPr fontId="2" type="noConversion"/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AB323-836C-4263-B169-F0E2E235CD0E}">
  <sheetPr codeName="Feuil7"/>
  <dimension ref="C4:F15"/>
  <sheetViews>
    <sheetView showGridLines="0" showRowColHeaders="0" workbookViewId="0">
      <selection activeCell="H11" sqref="H11"/>
    </sheetView>
  </sheetViews>
  <sheetFormatPr baseColWidth="10" defaultRowHeight="15" x14ac:dyDescent="0.25"/>
  <cols>
    <col min="3" max="3" width="78" customWidth="1"/>
  </cols>
  <sheetData>
    <row r="4" spans="3:6" ht="18.75" x14ac:dyDescent="0.3">
      <c r="C4" s="5" t="s">
        <v>29</v>
      </c>
      <c r="D4" s="5" t="s">
        <v>23</v>
      </c>
      <c r="E4" s="5"/>
      <c r="F4" s="5"/>
    </row>
    <row r="5" spans="3:6" ht="18.75" x14ac:dyDescent="0.3">
      <c r="C5" s="5"/>
      <c r="D5" s="5" t="str">
        <f>IF(T_Question[[#This Row],[Questions]]="","","non")</f>
        <v/>
      </c>
      <c r="E5" s="5"/>
      <c r="F5" s="5"/>
    </row>
    <row r="6" spans="3:6" ht="18.75" x14ac:dyDescent="0.3">
      <c r="C6" s="5"/>
      <c r="D6" s="5" t="str">
        <f>IF(T_Question[[#This Row],[Questions]]="","","non")</f>
        <v/>
      </c>
      <c r="E6" s="5"/>
      <c r="F6" s="5"/>
    </row>
    <row r="13" spans="3:6" ht="18.75" x14ac:dyDescent="0.3">
      <c r="C13" s="5" t="s">
        <v>30</v>
      </c>
      <c r="D13" s="5" t="s">
        <v>23</v>
      </c>
      <c r="E13" s="5"/>
      <c r="F13" s="5"/>
    </row>
    <row r="14" spans="3:6" ht="18.75" x14ac:dyDescent="0.3">
      <c r="C14" s="5"/>
      <c r="D14" s="5" t="str">
        <f>IF(Tableau_Pense_bete[[#This Row],[Penses Bête]]="","","non")</f>
        <v/>
      </c>
      <c r="E14" s="5"/>
      <c r="F14" s="5"/>
    </row>
    <row r="15" spans="3:6" ht="18.75" x14ac:dyDescent="0.3">
      <c r="C15" s="5"/>
      <c r="D15" s="5" t="str">
        <f>IF(Tableau_Pense_bete[[#This Row],[Penses Bête]]="","","non")</f>
        <v/>
      </c>
      <c r="E15" s="5"/>
      <c r="F15" s="5"/>
    </row>
  </sheetData>
  <dataValidations count="2">
    <dataValidation type="list" allowBlank="1" showInputMessage="1" sqref="D6 D15" xr:uid="{28963FE9-831A-4584-A133-D00468EEB947}">
      <mc:AlternateContent xmlns:x12ac="http://schemas.microsoft.com/office/spreadsheetml/2011/1/ac" xmlns:mc="http://schemas.openxmlformats.org/markup-compatibility/2006">
        <mc:Choice Requires="x12ac">
          <x12ac:list>"""oui""","""non"""</x12ac:list>
        </mc:Choice>
        <mc:Fallback>
          <formula1>"""oui"",""non"""</formula1>
        </mc:Fallback>
      </mc:AlternateContent>
    </dataValidation>
    <dataValidation type="list" allowBlank="1" showInputMessage="1" sqref="D5 D14" xr:uid="{460EB2B7-62BA-48CC-94DB-06C64DE34C6A}">
      <formula1>"oui,non"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AB4B3-88CA-425C-AA4E-2F6094241B20}">
  <sheetPr codeName="Feuil3">
    <pageSetUpPr fitToPage="1"/>
  </sheetPr>
  <dimension ref="B2:D17"/>
  <sheetViews>
    <sheetView showRowColHeaders="0" view="pageBreakPreview" zoomScale="70" zoomScaleNormal="100" zoomScaleSheetLayoutView="70" workbookViewId="0">
      <selection activeCell="I11" sqref="I11"/>
    </sheetView>
  </sheetViews>
  <sheetFormatPr baseColWidth="10" defaultRowHeight="15" x14ac:dyDescent="0.25"/>
  <cols>
    <col min="2" max="2" width="131.28515625" customWidth="1"/>
    <col min="3" max="3" width="11.140625" customWidth="1"/>
    <col min="4" max="4" width="19.85546875" customWidth="1"/>
  </cols>
  <sheetData>
    <row r="2" spans="2:4" ht="15.75" thickBot="1" x14ac:dyDescent="0.3"/>
    <row r="3" spans="2:4" ht="132" customHeight="1" thickBot="1" x14ac:dyDescent="0.3">
      <c r="B3" s="94" t="str">
        <f>Projet_ref</f>
        <v>PROJET SEMA TEST</v>
      </c>
      <c r="C3" s="97" t="s">
        <v>9</v>
      </c>
      <c r="D3" s="98"/>
    </row>
    <row r="4" spans="2:4" ht="12.75" customHeight="1" thickBot="1" x14ac:dyDescent="0.3">
      <c r="B4" s="95"/>
      <c r="C4" s="9" t="s">
        <v>1</v>
      </c>
      <c r="D4" s="7" t="str">
        <f>Projet_Suivi_par</f>
        <v>Yannick</v>
      </c>
    </row>
    <row r="5" spans="2:4" ht="15.75" customHeight="1" thickBot="1" x14ac:dyDescent="0.35">
      <c r="B5" s="96"/>
      <c r="C5" s="9" t="s">
        <v>2</v>
      </c>
      <c r="D5" s="8" t="str">
        <f>Projet_Conducteur</f>
        <v/>
      </c>
    </row>
    <row r="6" spans="2:4" ht="6" customHeight="1" thickBot="1" x14ac:dyDescent="0.3"/>
    <row r="7" spans="2:4" ht="132" customHeight="1" thickBot="1" x14ac:dyDescent="0.3">
      <c r="B7" s="94" t="str">
        <f>Projet_ref</f>
        <v>PROJET SEMA TEST</v>
      </c>
      <c r="C7" s="97" t="s">
        <v>9</v>
      </c>
      <c r="D7" s="98"/>
    </row>
    <row r="8" spans="2:4" ht="12.75" customHeight="1" thickBot="1" x14ac:dyDescent="0.3">
      <c r="B8" s="95"/>
      <c r="C8" s="9" t="s">
        <v>1</v>
      </c>
      <c r="D8" s="7" t="str">
        <f>Projet_Suivi_par</f>
        <v>Yannick</v>
      </c>
    </row>
    <row r="9" spans="2:4" ht="15.75" customHeight="1" thickBot="1" x14ac:dyDescent="0.35">
      <c r="B9" s="96"/>
      <c r="C9" s="9" t="s">
        <v>2</v>
      </c>
      <c r="D9" s="8" t="str">
        <f>Projet_Conducteur</f>
        <v/>
      </c>
    </row>
    <row r="10" spans="2:4" ht="6" customHeight="1" thickBot="1" x14ac:dyDescent="0.3"/>
    <row r="11" spans="2:4" ht="132" customHeight="1" thickBot="1" x14ac:dyDescent="0.3">
      <c r="B11" s="94" t="str">
        <f>Projet_ref</f>
        <v>PROJET SEMA TEST</v>
      </c>
      <c r="C11" s="97" t="s">
        <v>9</v>
      </c>
      <c r="D11" s="98"/>
    </row>
    <row r="12" spans="2:4" ht="12.75" customHeight="1" thickBot="1" x14ac:dyDescent="0.3">
      <c r="B12" s="95"/>
      <c r="C12" s="9" t="s">
        <v>1</v>
      </c>
      <c r="D12" s="7" t="str">
        <f>Projet_Suivi_par</f>
        <v>Yannick</v>
      </c>
    </row>
    <row r="13" spans="2:4" ht="15.75" customHeight="1" thickBot="1" x14ac:dyDescent="0.35">
      <c r="B13" s="96"/>
      <c r="C13" s="9" t="s">
        <v>2</v>
      </c>
      <c r="D13" s="8" t="str">
        <f>Projet_Conducteur</f>
        <v/>
      </c>
    </row>
    <row r="14" spans="2:4" ht="6" customHeight="1" thickBot="1" x14ac:dyDescent="0.3"/>
    <row r="15" spans="2:4" ht="132" customHeight="1" thickBot="1" x14ac:dyDescent="0.3">
      <c r="B15" s="94" t="str">
        <f>Projet_ref</f>
        <v>PROJET SEMA TEST</v>
      </c>
      <c r="C15" s="97" t="s">
        <v>9</v>
      </c>
      <c r="D15" s="98"/>
    </row>
    <row r="16" spans="2:4" ht="12.75" customHeight="1" thickBot="1" x14ac:dyDescent="0.3">
      <c r="B16" s="95"/>
      <c r="C16" s="9" t="s">
        <v>1</v>
      </c>
      <c r="D16" s="7" t="str">
        <f>Projet_Suivi_par</f>
        <v>Yannick</v>
      </c>
    </row>
    <row r="17" spans="2:4" ht="15.75" customHeight="1" thickBot="1" x14ac:dyDescent="0.35">
      <c r="B17" s="96"/>
      <c r="C17" s="9" t="s">
        <v>2</v>
      </c>
      <c r="D17" s="8" t="str">
        <f>Projet_Conducteur</f>
        <v/>
      </c>
    </row>
  </sheetData>
  <mergeCells count="8">
    <mergeCell ref="B15:B17"/>
    <mergeCell ref="C15:D15"/>
    <mergeCell ref="B7:B9"/>
    <mergeCell ref="C7:D7"/>
    <mergeCell ref="B3:B5"/>
    <mergeCell ref="C3:D3"/>
    <mergeCell ref="B11:B13"/>
    <mergeCell ref="C11:D11"/>
  </mergeCells>
  <pageMargins left="0.23622047244094491" right="0.23622047244094491" top="0.19685039370078741" bottom="0.19685039370078741" header="0" footer="0"/>
  <pageSetup paperSize="9" scale="8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96</vt:i4>
      </vt:variant>
    </vt:vector>
  </HeadingPairs>
  <TitlesOfParts>
    <vt:vector size="106" baseType="lpstr">
      <vt:lpstr>PARAMETRES</vt:lpstr>
      <vt:lpstr>ETAPES CHANTIER</vt:lpstr>
      <vt:lpstr>PREPA</vt:lpstr>
      <vt:lpstr>QUINCAILLERIE</vt:lpstr>
      <vt:lpstr>ZINGUERIE</vt:lpstr>
      <vt:lpstr>ELEMENTS FERRURES</vt:lpstr>
      <vt:lpstr>Dimension Murs et Caisson</vt:lpstr>
      <vt:lpstr>A TRAITER</vt:lpstr>
      <vt:lpstr>Questions et  Penses Bête</vt:lpstr>
      <vt:lpstr>Etiquettes</vt:lpstr>
      <vt:lpstr>A_TRAITER_SEMA</vt:lpstr>
      <vt:lpstr>C_COMPTES</vt:lpstr>
      <vt:lpstr>C_PROFILES</vt:lpstr>
      <vt:lpstr>Dimension_Hauteur_Max_Camion</vt:lpstr>
      <vt:lpstr>Dimension_Hauteur_Max_Remorque</vt:lpstr>
      <vt:lpstr>Dimension_Largeur_Max_Camion</vt:lpstr>
      <vt:lpstr>Dimension_Largeur_Max_Remorque</vt:lpstr>
      <vt:lpstr>Dimension_Longueur_Max_Camion</vt:lpstr>
      <vt:lpstr>Dimension_Longueur_Max_Remorque</vt:lpstr>
      <vt:lpstr>Dimension_Murs_et_Caisson_Données_SEMA</vt:lpstr>
      <vt:lpstr>PREPA!Dimension_Murs_et_Caisson_PAQUET_Epaisseur</vt:lpstr>
      <vt:lpstr>ZINGUERIE!Dimension_Murs_et_Caisson_PAQUET_Epaisseur</vt:lpstr>
      <vt:lpstr>Dimension_Murs_et_Caisson_PAQUET_Epaisseur</vt:lpstr>
      <vt:lpstr>PREPA!Dimension_Murs_et_Caisson_PAQUET_Largeur</vt:lpstr>
      <vt:lpstr>ZINGUERIE!Dimension_Murs_et_Caisson_PAQUET_Largeur</vt:lpstr>
      <vt:lpstr>Dimension_Murs_et_Caisson_PAQUET_Largeur</vt:lpstr>
      <vt:lpstr>PREPA!Dimension_Murs_et_Caisson_PAQUET_Longueur</vt:lpstr>
      <vt:lpstr>ZINGUERIE!Dimension_Murs_et_Caisson_PAQUET_Longueur</vt:lpstr>
      <vt:lpstr>Dimension_Murs_et_Caisson_PAQUET_Longueur</vt:lpstr>
      <vt:lpstr>ELEMENTS_FERRURES</vt:lpstr>
      <vt:lpstr>'ETAPES CHANTIER'!Impression_des_titres</vt:lpstr>
      <vt:lpstr>PREPA!Impression_des_titres</vt:lpstr>
      <vt:lpstr>QUINCAILLERIE!Impression_des_titres</vt:lpstr>
      <vt:lpstr>ZINGUERIE!Impression_des_titres</vt:lpstr>
      <vt:lpstr>LIGNE_ID_Profile_Etape</vt:lpstr>
      <vt:lpstr>LIGNE_Profile_Etape</vt:lpstr>
      <vt:lpstr>LISTE_SEMA</vt:lpstr>
      <vt:lpstr>Pense_bete_SEMA</vt:lpstr>
      <vt:lpstr>Projet_Adresse</vt:lpstr>
      <vt:lpstr>Projet_Conducteur</vt:lpstr>
      <vt:lpstr>Projet_CP</vt:lpstr>
      <vt:lpstr>Projet_ref</vt:lpstr>
      <vt:lpstr>Projet_Suivi_par</vt:lpstr>
      <vt:lpstr>Projet_Ville</vt:lpstr>
      <vt:lpstr>Question_SEMA</vt:lpstr>
      <vt:lpstr>PREPA!QUINCAILLERIE_NB.SI_PAQUET</vt:lpstr>
      <vt:lpstr>ZINGUERIE!QUINCAILLERIE_NB.SI_PAQUET</vt:lpstr>
      <vt:lpstr>QUINCAILLERIE_NB.SI_PAQUET</vt:lpstr>
      <vt:lpstr>SEMADATA_A_TRAITER_A_TRAITER_SEMA_C</vt:lpstr>
      <vt:lpstr>SEMADATA_A_TRAITER_A_TRAITER_SEMA_D</vt:lpstr>
      <vt:lpstr>SEMADATA_ELEMENTS_FERRURES_ELEMENTS_FERRURES_C</vt:lpstr>
      <vt:lpstr>SEMADATA_ETAPES_CHANTIER_LISTE_SEMA_C</vt:lpstr>
      <vt:lpstr>SEMADATA_PREPA_T_PREPA_Goblal_m2_C</vt:lpstr>
      <vt:lpstr>SEMADATA_PREPA_T_PREPA_Goblal_m2_D</vt:lpstr>
      <vt:lpstr>SEMADATA_PREPA_T_PREPA_Goblal_u_C</vt:lpstr>
      <vt:lpstr>SEMADATA_PREPA_T_PREPA_Goblal_u_D</vt:lpstr>
      <vt:lpstr>SEMADATA_PREPA_T_PREPA_Paquet_Atelier_m2_C</vt:lpstr>
      <vt:lpstr>SEMADATA_PREPA_T_PREPA_Paquet_Atelier_m2_D</vt:lpstr>
      <vt:lpstr>SEMADATA_PREPA_T_PREPA_Paquet_Atelier_u_C</vt:lpstr>
      <vt:lpstr>SEMADATA_PREPA_T_PREPA_Paquet_Atelier_u_D</vt:lpstr>
      <vt:lpstr>SEMADATA_QUINCAILLERIE_T_QUINCAILLERIE_Magasinier_u_C</vt:lpstr>
      <vt:lpstr>SEMADATA_QUINCAILLERIE_T_QUINCAILLERIE_Magasinier_u_D</vt:lpstr>
      <vt:lpstr>SEMADATA_QUINCAILLERIE_T_QUINCAILLERIE_Paquet_Atelier_u_C</vt:lpstr>
      <vt:lpstr>SEMADATA_QUINCAILLERIE_T_QUINCAILLERIE_Paquet_Atelier_u_D</vt:lpstr>
      <vt:lpstr>SEMADATA_QUINCAILLERIE_T_QUINCAILLERIE_Paquet_Chantier_u_C</vt:lpstr>
      <vt:lpstr>SEMADATA_QUINCAILLERIE_T_QUINCAILLERIE_Paquet_Chantier_u_D</vt:lpstr>
      <vt:lpstr>SEMADATA_ZINGUERIE_T_ZINGUERIE_Goblal_ml_C</vt:lpstr>
      <vt:lpstr>SEMADATA_ZINGUERIE_T_ZINGUERIE_Goblal_ml_D</vt:lpstr>
      <vt:lpstr>SEMADATA_ZINGUERIE_T_ZINGUERIE_Paquet_Chantier_ml_C</vt:lpstr>
      <vt:lpstr>SEMADATA_ZINGUERIE_T_ZINGUERIE_Paquet_Chantier_ml_D</vt:lpstr>
      <vt:lpstr>PREPA!T_PREPA_Goblal_m2</vt:lpstr>
      <vt:lpstr>PREPA!T_PREPA_Goblal_ml</vt:lpstr>
      <vt:lpstr>PREPA!T_PREPA_Goblal_u</vt:lpstr>
      <vt:lpstr>PREPA!T_PREPA_Paquet_Atelier_m2</vt:lpstr>
      <vt:lpstr>PREPA!T_PREPA_Paquet_Atelier_ml</vt:lpstr>
      <vt:lpstr>PREPA!T_PREPA_Paquet_Atelier_u</vt:lpstr>
      <vt:lpstr>PREPA!T_PREPA_Paquet_Chantier_m2</vt:lpstr>
      <vt:lpstr>PREPA!T_PREPA_Paquet_Chantier_ml</vt:lpstr>
      <vt:lpstr>PREPA!T_PREPA_Paquet_Chantier_u</vt:lpstr>
      <vt:lpstr>T_QUINCAILLERIE_Magasinier_m2</vt:lpstr>
      <vt:lpstr>T_QUINCAILLERIE_Magasinier_ml</vt:lpstr>
      <vt:lpstr>T_QUINCAILLERIE_Magasinier_u</vt:lpstr>
      <vt:lpstr>T_QUINCAILLERIE_Paquet_Atelier_m2</vt:lpstr>
      <vt:lpstr>T_QUINCAILLERIE_Paquet_Atelier_ml</vt:lpstr>
      <vt:lpstr>T_QUINCAILLERIE_Paquet_Atelier_u</vt:lpstr>
      <vt:lpstr>T_QUINCAILLERIE_Paquet_Chantier_m2</vt:lpstr>
      <vt:lpstr>T_QUINCAILLERIE_Paquet_Chantier_ml</vt:lpstr>
      <vt:lpstr>T_QUINCAILLERIE_Paquet_Chantier_u</vt:lpstr>
      <vt:lpstr>ZINGUERIE!T_ZINGUERIE_Goblal_m2</vt:lpstr>
      <vt:lpstr>ZINGUERIE!T_ZINGUERIE_Goblal_ml</vt:lpstr>
      <vt:lpstr>ZINGUERIE!T_ZINGUERIE_Goblal_u</vt:lpstr>
      <vt:lpstr>ZINGUERIE!T_ZINGUERIE_Paquet_Atelier_m2</vt:lpstr>
      <vt:lpstr>ZINGUERIE!T_ZINGUERIE_Paquet_Atelier_ml</vt:lpstr>
      <vt:lpstr>ZINGUERIE!T_ZINGUERIE_Paquet_Atelier_u</vt:lpstr>
      <vt:lpstr>ZINGUERIE!T_ZINGUERIE_Paquet_Chantier_m2</vt:lpstr>
      <vt:lpstr>ZINGUERIE!T_ZINGUERIE_Paquet_Chantier_ml</vt:lpstr>
      <vt:lpstr>ZINGUERIE!T_ZINGUERIE_Paquet_Chantier_u</vt:lpstr>
      <vt:lpstr>ZONE_CHECK_LISTE_ATELIER</vt:lpstr>
      <vt:lpstr>ZONE_CHECK_LISTE_CHANTIER</vt:lpstr>
      <vt:lpstr>'A TRAITER'!Zone_d_impression</vt:lpstr>
      <vt:lpstr>'Dimension Murs et Caisson'!Zone_d_impression</vt:lpstr>
      <vt:lpstr>'ETAPES CHANTIER'!Zone_d_impression</vt:lpstr>
      <vt:lpstr>Etiquettes!Zone_d_impression</vt:lpstr>
      <vt:lpstr>PREPA!Zone_d_impression</vt:lpstr>
      <vt:lpstr>QUINCAILLERIE!Zone_d_impression</vt:lpstr>
      <vt:lpstr>ZINGUERIE!Zone_d_impression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MOTTAIS</dc:creator>
  <cp:lastModifiedBy>Yannick MOTTAIS</cp:lastModifiedBy>
  <cp:lastPrinted>2024-04-21T17:20:27Z</cp:lastPrinted>
  <dcterms:created xsi:type="dcterms:W3CDTF">2015-06-05T18:19:34Z</dcterms:created>
  <dcterms:modified xsi:type="dcterms:W3CDTF">2024-06-06T20:29:24Z</dcterms:modified>
</cp:coreProperties>
</file>